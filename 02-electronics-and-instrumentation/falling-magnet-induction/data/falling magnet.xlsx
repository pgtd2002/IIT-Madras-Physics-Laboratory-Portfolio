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gtd2\Desktop\lab sem 2\"/>
    </mc:Choice>
  </mc:AlternateContent>
  <xr:revisionPtr revIDLastSave="0" documentId="13_ncr:1_{31C81A95-5867-4A5D-8FC1-8BADF13B10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4" l="1"/>
  <c r="F30" i="4"/>
  <c r="E30" i="4"/>
  <c r="F29" i="4"/>
  <c r="E29" i="4"/>
  <c r="F28" i="4"/>
  <c r="E28" i="4"/>
  <c r="F27" i="4"/>
  <c r="E27" i="4"/>
  <c r="F26" i="4"/>
  <c r="E26" i="4"/>
  <c r="F25" i="4"/>
  <c r="E25" i="4"/>
  <c r="B25" i="4"/>
  <c r="B26" i="4" s="1"/>
  <c r="B27" i="4" s="1"/>
  <c r="B28" i="4" s="1"/>
  <c r="B29" i="4" s="1"/>
  <c r="B30" i="4" s="1"/>
  <c r="B31" i="4" s="1"/>
  <c r="B32" i="4" s="1"/>
  <c r="B33" i="4" s="1"/>
  <c r="F24" i="4"/>
  <c r="E24" i="4"/>
  <c r="F20" i="4"/>
  <c r="F19" i="4"/>
  <c r="E19" i="4"/>
  <c r="F18" i="4"/>
  <c r="E18" i="4"/>
  <c r="F17" i="4"/>
  <c r="E17" i="4"/>
  <c r="F16" i="4"/>
  <c r="E16" i="4"/>
  <c r="F15" i="4"/>
  <c r="E15" i="4"/>
  <c r="F14" i="4"/>
  <c r="E14" i="4"/>
  <c r="B14" i="4"/>
  <c r="B15" i="4" s="1"/>
  <c r="B16" i="4" s="1"/>
  <c r="B17" i="4" s="1"/>
  <c r="B18" i="4" s="1"/>
  <c r="B19" i="4" s="1"/>
  <c r="B20" i="4" s="1"/>
  <c r="B21" i="4" s="1"/>
  <c r="B22" i="4" s="1"/>
  <c r="F13" i="4"/>
  <c r="E13" i="4"/>
  <c r="F9" i="4"/>
  <c r="F8" i="4"/>
  <c r="E8" i="4"/>
  <c r="F7" i="4"/>
  <c r="E7" i="4"/>
  <c r="F6" i="4"/>
  <c r="E6" i="4"/>
  <c r="F5" i="4"/>
  <c r="E5" i="4"/>
  <c r="B5" i="4"/>
  <c r="B6" i="4" s="1"/>
  <c r="B7" i="4" s="1"/>
  <c r="B8" i="4" s="1"/>
  <c r="B9" i="4" s="1"/>
  <c r="B10" i="4" s="1"/>
  <c r="B11" i="4" s="1"/>
  <c r="F4" i="4"/>
  <c r="E4" i="4"/>
  <c r="B4" i="4"/>
  <c r="F3" i="4"/>
  <c r="E3" i="4"/>
  <c r="F2" i="4"/>
  <c r="E2" i="4"/>
  <c r="F9" i="3"/>
  <c r="F20" i="3"/>
  <c r="F31" i="3"/>
  <c r="E30" i="3"/>
  <c r="E19" i="3"/>
  <c r="E8" i="3"/>
  <c r="F30" i="3"/>
  <c r="F19" i="3"/>
  <c r="F8" i="3"/>
  <c r="E7" i="3"/>
  <c r="E18" i="3"/>
  <c r="E29" i="3"/>
  <c r="F29" i="3"/>
  <c r="F18" i="3"/>
  <c r="F7" i="3"/>
  <c r="B30" i="3"/>
  <c r="B31" i="3"/>
  <c r="B32" i="3"/>
  <c r="B33" i="3"/>
  <c r="B19" i="3"/>
  <c r="B20" i="3"/>
  <c r="B21" i="3"/>
  <c r="B22" i="3"/>
  <c r="B8" i="3"/>
  <c r="B9" i="3"/>
  <c r="B10" i="3"/>
  <c r="B11" i="3"/>
  <c r="F3" i="3"/>
  <c r="F4" i="3"/>
  <c r="F5" i="3"/>
  <c r="F6" i="3"/>
  <c r="F13" i="3"/>
  <c r="F14" i="3"/>
  <c r="F15" i="3"/>
  <c r="F16" i="3"/>
  <c r="F17" i="3"/>
  <c r="F24" i="3"/>
  <c r="F25" i="3"/>
  <c r="F26" i="3"/>
  <c r="F27" i="3"/>
  <c r="F28" i="3"/>
  <c r="F2" i="3"/>
  <c r="E3" i="3"/>
  <c r="E4" i="3"/>
  <c r="E5" i="3"/>
  <c r="E6" i="3"/>
  <c r="E13" i="3"/>
  <c r="E14" i="3"/>
  <c r="E15" i="3"/>
  <c r="E16" i="3"/>
  <c r="E17" i="3"/>
  <c r="E2" i="3"/>
  <c r="E24" i="3"/>
  <c r="E25" i="3"/>
  <c r="E26" i="3"/>
  <c r="E27" i="3"/>
  <c r="E28" i="3"/>
  <c r="B25" i="3"/>
  <c r="B26" i="3" s="1"/>
  <c r="B27" i="3" s="1"/>
  <c r="B28" i="3" s="1"/>
  <c r="B29" i="3" s="1"/>
  <c r="B14" i="3"/>
  <c r="B15" i="3" s="1"/>
  <c r="B16" i="3" s="1"/>
  <c r="B17" i="3" s="1"/>
  <c r="B18" i="3" s="1"/>
  <c r="B4" i="3"/>
  <c r="B5" i="3" s="1"/>
  <c r="B6" i="3" s="1"/>
  <c r="B7" i="3" s="1"/>
  <c r="B17" i="2"/>
  <c r="B18" i="2" s="1"/>
  <c r="B19" i="2" s="1"/>
  <c r="B20" i="2" s="1"/>
  <c r="B21" i="2" s="1"/>
  <c r="B10" i="2"/>
  <c r="B11" i="2" s="1"/>
  <c r="B12" i="2" s="1"/>
  <c r="B13" i="2" s="1"/>
  <c r="B14" i="2" s="1"/>
  <c r="B4" i="2"/>
  <c r="B5" i="2" s="1"/>
  <c r="B6" i="2" s="1"/>
  <c r="B7" i="2" s="1"/>
  <c r="B17" i="1"/>
  <c r="B18" i="1" s="1"/>
  <c r="B19" i="1" s="1"/>
  <c r="B20" i="1" s="1"/>
  <c r="B21" i="1" s="1"/>
  <c r="B11" i="1"/>
  <c r="B12" i="1"/>
  <c r="B13" i="1" s="1"/>
  <c r="B14" i="1" s="1"/>
  <c r="B10" i="1"/>
  <c r="B7" i="1"/>
  <c r="B5" i="1"/>
  <c r="B6" i="1"/>
  <c r="B4" i="1"/>
</calcChain>
</file>

<file path=xl/sharedStrings.xml><?xml version="1.0" encoding="utf-8"?>
<sst xmlns="http://schemas.openxmlformats.org/spreadsheetml/2006/main" count="29" uniqueCount="12">
  <si>
    <t xml:space="preserve">alu </t>
  </si>
  <si>
    <t>20x10</t>
  </si>
  <si>
    <t>distance</t>
  </si>
  <si>
    <t>time</t>
  </si>
  <si>
    <t>20x20</t>
  </si>
  <si>
    <t>20x30</t>
  </si>
  <si>
    <t>copper</t>
  </si>
  <si>
    <t>pvc</t>
  </si>
  <si>
    <t>time(ms)</t>
  </si>
  <si>
    <t>s</t>
  </si>
  <si>
    <t>m</t>
  </si>
  <si>
    <t>distance(cm)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</si>
</sst>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Sheet2!$D$2:$D$7</c:f>
              <c:numCache>
                <c:formatCode>General</c:formatCode>
                <c:ptCount val="6"/>
                <c:pt idx="0">
                  <c:v>1.95</c:v>
                </c:pt>
                <c:pt idx="1">
                  <c:v>2.2799999999999998</c:v>
                </c:pt>
                <c:pt idx="2">
                  <c:v>2.5299999999999998</c:v>
                </c:pt>
                <c:pt idx="3">
                  <c:v>2.64</c:v>
                </c:pt>
                <c:pt idx="4">
                  <c:v>2.82</c:v>
                </c:pt>
                <c:pt idx="5">
                  <c:v>3.07</c:v>
                </c:pt>
              </c:numCache>
            </c:numRef>
          </c:xVal>
          <c:yVal>
            <c:numRef>
              <c:f>Sheet2!$E$2:$E$7</c:f>
              <c:numCache>
                <c:formatCode>General</c:formatCode>
                <c:ptCount val="6"/>
                <c:pt idx="0">
                  <c:v>44.4</c:v>
                </c:pt>
                <c:pt idx="1">
                  <c:v>52.5</c:v>
                </c:pt>
                <c:pt idx="2">
                  <c:v>57</c:v>
                </c:pt>
                <c:pt idx="3">
                  <c:v>60</c:v>
                </c:pt>
                <c:pt idx="4">
                  <c:v>64</c:v>
                </c:pt>
                <c:pt idx="5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AE-42B0-8F47-A10EB2468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971599"/>
        <c:axId val="1517973519"/>
      </c:scatterChart>
      <c:valAx>
        <c:axId val="151797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973519"/>
        <c:crosses val="autoZero"/>
        <c:crossBetween val="midCat"/>
      </c:valAx>
      <c:valAx>
        <c:axId val="151797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97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Sheet2!$D$9:$D$14</c:f>
              <c:numCache>
                <c:formatCode>General</c:formatCode>
                <c:ptCount val="6"/>
                <c:pt idx="0">
                  <c:v>2.52</c:v>
                </c:pt>
                <c:pt idx="1">
                  <c:v>3</c:v>
                </c:pt>
                <c:pt idx="2">
                  <c:v>3.24</c:v>
                </c:pt>
                <c:pt idx="3">
                  <c:v>3.42</c:v>
                </c:pt>
                <c:pt idx="4">
                  <c:v>3.66</c:v>
                </c:pt>
                <c:pt idx="5">
                  <c:v>4</c:v>
                </c:pt>
              </c:numCache>
            </c:numRef>
          </c:xVal>
          <c:yVal>
            <c:numRef>
              <c:f>Sheet2!$E$9:$E$14</c:f>
              <c:numCache>
                <c:formatCode>General</c:formatCode>
                <c:ptCount val="6"/>
                <c:pt idx="0">
                  <c:v>44.4</c:v>
                </c:pt>
                <c:pt idx="1">
                  <c:v>52.5</c:v>
                </c:pt>
                <c:pt idx="2">
                  <c:v>57</c:v>
                </c:pt>
                <c:pt idx="3">
                  <c:v>60</c:v>
                </c:pt>
                <c:pt idx="4">
                  <c:v>64</c:v>
                </c:pt>
                <c:pt idx="5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81-4A8C-988E-D2BBCC5F7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980239"/>
        <c:axId val="1517984079"/>
      </c:scatterChart>
      <c:valAx>
        <c:axId val="151798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984079"/>
        <c:crosses val="autoZero"/>
        <c:crossBetween val="midCat"/>
      </c:valAx>
      <c:valAx>
        <c:axId val="151798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98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Sheet2!$D$16:$D$21</c:f>
              <c:numCache>
                <c:formatCode>General</c:formatCode>
                <c:ptCount val="6"/>
                <c:pt idx="0">
                  <c:v>2.12</c:v>
                </c:pt>
                <c:pt idx="1">
                  <c:v>2.38</c:v>
                </c:pt>
                <c:pt idx="2">
                  <c:v>2.6</c:v>
                </c:pt>
                <c:pt idx="3">
                  <c:v>2.73</c:v>
                </c:pt>
                <c:pt idx="4">
                  <c:v>2.89</c:v>
                </c:pt>
                <c:pt idx="5">
                  <c:v>3.19</c:v>
                </c:pt>
              </c:numCache>
            </c:numRef>
          </c:xVal>
          <c:yVal>
            <c:numRef>
              <c:f>Sheet2!$E$16:$E$21</c:f>
              <c:numCache>
                <c:formatCode>General</c:formatCode>
                <c:ptCount val="6"/>
                <c:pt idx="0">
                  <c:v>44.4</c:v>
                </c:pt>
                <c:pt idx="1">
                  <c:v>52.5</c:v>
                </c:pt>
                <c:pt idx="2">
                  <c:v>57</c:v>
                </c:pt>
                <c:pt idx="3">
                  <c:v>60</c:v>
                </c:pt>
                <c:pt idx="4">
                  <c:v>64</c:v>
                </c:pt>
                <c:pt idx="5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8E-40CE-8490-0CF26566D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981679"/>
        <c:axId val="1517979759"/>
      </c:scatterChart>
      <c:valAx>
        <c:axId val="151798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979759"/>
        <c:crosses val="autoZero"/>
        <c:crossBetween val="midCat"/>
      </c:valAx>
      <c:valAx>
        <c:axId val="151797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98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(Sheet3!$E$2:$E$8,Sheet3!$E$13:$E$19,Sheet3!$E$24:$E$30)</c:f>
              <c:numCache>
                <c:formatCode>General</c:formatCode>
                <c:ptCount val="21"/>
                <c:pt idx="0">
                  <c:v>0.3</c:v>
                </c:pt>
                <c:pt idx="1">
                  <c:v>0.224</c:v>
                </c:pt>
                <c:pt idx="2">
                  <c:v>0.192</c:v>
                </c:pt>
                <c:pt idx="3">
                  <c:v>0.16240000000000002</c:v>
                </c:pt>
                <c:pt idx="4">
                  <c:v>0.14499999999999999</c:v>
                </c:pt>
                <c:pt idx="5">
                  <c:v>0.13619999999999999</c:v>
                </c:pt>
                <c:pt idx="6">
                  <c:v>0.12620000000000001</c:v>
                </c:pt>
                <c:pt idx="7">
                  <c:v>0.31</c:v>
                </c:pt>
                <c:pt idx="8">
                  <c:v>0.23499999999999999</c:v>
                </c:pt>
                <c:pt idx="9">
                  <c:v>0.19800000000000001</c:v>
                </c:pt>
                <c:pt idx="10">
                  <c:v>0.16739999999999999</c:v>
                </c:pt>
                <c:pt idx="11">
                  <c:v>0.15719999999999998</c:v>
                </c:pt>
                <c:pt idx="12">
                  <c:v>0.13739999999999999</c:v>
                </c:pt>
                <c:pt idx="13">
                  <c:v>0.127</c:v>
                </c:pt>
                <c:pt idx="14">
                  <c:v>0.32</c:v>
                </c:pt>
                <c:pt idx="15">
                  <c:v>0.222</c:v>
                </c:pt>
                <c:pt idx="16">
                  <c:v>0.192</c:v>
                </c:pt>
                <c:pt idx="17">
                  <c:v>0.16300000000000001</c:v>
                </c:pt>
                <c:pt idx="18">
                  <c:v>0.14959999999999998</c:v>
                </c:pt>
                <c:pt idx="19">
                  <c:v>0.13900000000000001</c:v>
                </c:pt>
                <c:pt idx="20">
                  <c:v>0.12520000000000001</c:v>
                </c:pt>
              </c:numCache>
            </c:numRef>
          </c:xVal>
          <c:yVal>
            <c:numRef>
              <c:f>(Sheet3!$F$2:$F$8,Sheet3!$F$13:$F$19,Sheet3!$F$24:$F$30)</c:f>
              <c:numCache>
                <c:formatCode>General</c:formatCode>
                <c:ptCount val="21"/>
                <c:pt idx="0">
                  <c:v>0.64</c:v>
                </c:pt>
                <c:pt idx="1">
                  <c:v>0.56000000000000005</c:v>
                </c:pt>
                <c:pt idx="2">
                  <c:v>0.51</c:v>
                </c:pt>
                <c:pt idx="3">
                  <c:v>0.46299999999999997</c:v>
                </c:pt>
                <c:pt idx="4">
                  <c:v>0.43</c:v>
                </c:pt>
                <c:pt idx="5">
                  <c:v>0.4</c:v>
                </c:pt>
                <c:pt idx="6">
                  <c:v>0.37</c:v>
                </c:pt>
                <c:pt idx="7">
                  <c:v>0.64</c:v>
                </c:pt>
                <c:pt idx="8">
                  <c:v>0.56000000000000005</c:v>
                </c:pt>
                <c:pt idx="9">
                  <c:v>0.51</c:v>
                </c:pt>
                <c:pt idx="10">
                  <c:v>0.46299999999999997</c:v>
                </c:pt>
                <c:pt idx="11">
                  <c:v>0.43</c:v>
                </c:pt>
                <c:pt idx="12">
                  <c:v>0.4</c:v>
                </c:pt>
                <c:pt idx="13">
                  <c:v>0.37</c:v>
                </c:pt>
                <c:pt idx="14">
                  <c:v>0.64</c:v>
                </c:pt>
                <c:pt idx="15">
                  <c:v>0.56000000000000005</c:v>
                </c:pt>
                <c:pt idx="16">
                  <c:v>0.51</c:v>
                </c:pt>
                <c:pt idx="17">
                  <c:v>0.46299999999999997</c:v>
                </c:pt>
                <c:pt idx="18">
                  <c:v>0.43</c:v>
                </c:pt>
                <c:pt idx="19">
                  <c:v>0.4</c:v>
                </c:pt>
                <c:pt idx="20">
                  <c:v>0.37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7E-44FB-B811-CDF36B1D3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008143"/>
        <c:axId val="471012943"/>
      </c:scatterChart>
      <c:valAx>
        <c:axId val="47100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12943"/>
        <c:crosses val="autoZero"/>
        <c:crossBetween val="midCat"/>
      </c:valAx>
      <c:valAx>
        <c:axId val="47101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0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(Sheet3!$E$2:$E$8,Sheet3!$E$13:$E$19,Sheet3!$E$24:$E$30,Sheet3!$E$33:$E$53)</c:f>
              <c:numCache>
                <c:formatCode>General</c:formatCode>
                <c:ptCount val="42"/>
                <c:pt idx="0">
                  <c:v>0.3</c:v>
                </c:pt>
                <c:pt idx="1">
                  <c:v>0.224</c:v>
                </c:pt>
                <c:pt idx="2">
                  <c:v>0.192</c:v>
                </c:pt>
                <c:pt idx="3">
                  <c:v>0.16240000000000002</c:v>
                </c:pt>
                <c:pt idx="4">
                  <c:v>0.14499999999999999</c:v>
                </c:pt>
                <c:pt idx="5">
                  <c:v>0.13619999999999999</c:v>
                </c:pt>
                <c:pt idx="6">
                  <c:v>0.12620000000000001</c:v>
                </c:pt>
                <c:pt idx="7">
                  <c:v>0.31</c:v>
                </c:pt>
                <c:pt idx="8">
                  <c:v>0.23499999999999999</c:v>
                </c:pt>
                <c:pt idx="9">
                  <c:v>0.19800000000000001</c:v>
                </c:pt>
                <c:pt idx="10">
                  <c:v>0.16739999999999999</c:v>
                </c:pt>
                <c:pt idx="11">
                  <c:v>0.15719999999999998</c:v>
                </c:pt>
                <c:pt idx="12">
                  <c:v>0.13739999999999999</c:v>
                </c:pt>
                <c:pt idx="13">
                  <c:v>0.127</c:v>
                </c:pt>
                <c:pt idx="14">
                  <c:v>0.32</c:v>
                </c:pt>
                <c:pt idx="15">
                  <c:v>0.222</c:v>
                </c:pt>
                <c:pt idx="16">
                  <c:v>0.192</c:v>
                </c:pt>
                <c:pt idx="17">
                  <c:v>0.16300000000000001</c:v>
                </c:pt>
                <c:pt idx="18">
                  <c:v>0.14959999999999998</c:v>
                </c:pt>
                <c:pt idx="19">
                  <c:v>0.13900000000000001</c:v>
                </c:pt>
                <c:pt idx="20">
                  <c:v>0.12520000000000001</c:v>
                </c:pt>
                <c:pt idx="21">
                  <c:v>9.240000000000001E-2</c:v>
                </c:pt>
                <c:pt idx="22">
                  <c:v>0.10540000000000001</c:v>
                </c:pt>
                <c:pt idx="23">
                  <c:v>0.1182</c:v>
                </c:pt>
                <c:pt idx="24">
                  <c:v>0.13700000000000001</c:v>
                </c:pt>
                <c:pt idx="25">
                  <c:v>0.14000000000000001</c:v>
                </c:pt>
                <c:pt idx="26">
                  <c:v>0.1628</c:v>
                </c:pt>
                <c:pt idx="27">
                  <c:v>0.17580000000000001</c:v>
                </c:pt>
                <c:pt idx="28">
                  <c:v>9.8400000000000001E-2</c:v>
                </c:pt>
                <c:pt idx="29">
                  <c:v>0.11</c:v>
                </c:pt>
                <c:pt idx="30">
                  <c:v>0.1222</c:v>
                </c:pt>
                <c:pt idx="31">
                  <c:v>0.13340000000000002</c:v>
                </c:pt>
                <c:pt idx="32">
                  <c:v>0.1474</c:v>
                </c:pt>
                <c:pt idx="33">
                  <c:v>0.16140000000000002</c:v>
                </c:pt>
                <c:pt idx="34">
                  <c:v>0.1784</c:v>
                </c:pt>
                <c:pt idx="35">
                  <c:v>9.8599999999999993E-2</c:v>
                </c:pt>
                <c:pt idx="36">
                  <c:v>0.1082</c:v>
                </c:pt>
                <c:pt idx="37">
                  <c:v>0.12379999999999999</c:v>
                </c:pt>
                <c:pt idx="38">
                  <c:v>0.1328</c:v>
                </c:pt>
                <c:pt idx="39">
                  <c:v>0.14560000000000001</c:v>
                </c:pt>
                <c:pt idx="40">
                  <c:v>0.16019999999999998</c:v>
                </c:pt>
                <c:pt idx="41">
                  <c:v>0.17859999999999998</c:v>
                </c:pt>
              </c:numCache>
            </c:numRef>
          </c:xVal>
          <c:yVal>
            <c:numRef>
              <c:f>(Sheet3!$F$2:$F$8,Sheet3!$F$13:$F$19,Sheet3!$F$24:$F$30,Sheet3!$F$33:$F$53)</c:f>
              <c:numCache>
                <c:formatCode>General</c:formatCode>
                <c:ptCount val="42"/>
                <c:pt idx="0">
                  <c:v>0.64</c:v>
                </c:pt>
                <c:pt idx="1">
                  <c:v>0.56000000000000005</c:v>
                </c:pt>
                <c:pt idx="2">
                  <c:v>0.51</c:v>
                </c:pt>
                <c:pt idx="3">
                  <c:v>0.46299999999999997</c:v>
                </c:pt>
                <c:pt idx="4">
                  <c:v>0.43</c:v>
                </c:pt>
                <c:pt idx="5">
                  <c:v>0.4</c:v>
                </c:pt>
                <c:pt idx="6">
                  <c:v>0.37</c:v>
                </c:pt>
                <c:pt idx="7">
                  <c:v>0.64</c:v>
                </c:pt>
                <c:pt idx="8">
                  <c:v>0.56000000000000005</c:v>
                </c:pt>
                <c:pt idx="9">
                  <c:v>0.51</c:v>
                </c:pt>
                <c:pt idx="10">
                  <c:v>0.46299999999999997</c:v>
                </c:pt>
                <c:pt idx="11">
                  <c:v>0.43</c:v>
                </c:pt>
                <c:pt idx="12">
                  <c:v>0.4</c:v>
                </c:pt>
                <c:pt idx="13">
                  <c:v>0.37</c:v>
                </c:pt>
                <c:pt idx="14">
                  <c:v>0.64</c:v>
                </c:pt>
                <c:pt idx="15">
                  <c:v>0.56000000000000005</c:v>
                </c:pt>
                <c:pt idx="16">
                  <c:v>0.51</c:v>
                </c:pt>
                <c:pt idx="17">
                  <c:v>0.46299999999999997</c:v>
                </c:pt>
                <c:pt idx="18">
                  <c:v>0.43</c:v>
                </c:pt>
                <c:pt idx="19">
                  <c:v>0.4</c:v>
                </c:pt>
                <c:pt idx="20">
                  <c:v>0.37</c:v>
                </c:pt>
                <c:pt idx="21">
                  <c:v>0.18</c:v>
                </c:pt>
                <c:pt idx="22">
                  <c:v>0.21</c:v>
                </c:pt>
                <c:pt idx="23">
                  <c:v>0.24</c:v>
                </c:pt>
                <c:pt idx="24">
                  <c:v>0.27</c:v>
                </c:pt>
                <c:pt idx="25">
                  <c:v>0.3</c:v>
                </c:pt>
                <c:pt idx="26">
                  <c:v>0.35</c:v>
                </c:pt>
                <c:pt idx="27">
                  <c:v>0.4</c:v>
                </c:pt>
                <c:pt idx="28">
                  <c:v>0.18</c:v>
                </c:pt>
                <c:pt idx="29">
                  <c:v>0.21</c:v>
                </c:pt>
                <c:pt idx="30">
                  <c:v>0.24</c:v>
                </c:pt>
                <c:pt idx="31">
                  <c:v>0.27</c:v>
                </c:pt>
                <c:pt idx="32">
                  <c:v>0.3</c:v>
                </c:pt>
                <c:pt idx="33">
                  <c:v>0.35</c:v>
                </c:pt>
                <c:pt idx="34">
                  <c:v>0.4</c:v>
                </c:pt>
                <c:pt idx="35">
                  <c:v>0.18</c:v>
                </c:pt>
                <c:pt idx="36">
                  <c:v>0.21</c:v>
                </c:pt>
                <c:pt idx="37">
                  <c:v>0.24</c:v>
                </c:pt>
                <c:pt idx="38">
                  <c:v>0.27</c:v>
                </c:pt>
                <c:pt idx="39">
                  <c:v>0.3</c:v>
                </c:pt>
                <c:pt idx="40">
                  <c:v>0.35</c:v>
                </c:pt>
                <c:pt idx="41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15-46CD-8B4A-AF413FB01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014383"/>
        <c:axId val="471022543"/>
      </c:scatterChart>
      <c:valAx>
        <c:axId val="47101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22543"/>
        <c:crosses val="autoZero"/>
        <c:crossBetween val="midCat"/>
      </c:valAx>
      <c:valAx>
        <c:axId val="47102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1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Sheet4!$E$24:$E$30</c:f>
              <c:numCache>
                <c:formatCode>General</c:formatCode>
                <c:ptCount val="7"/>
                <c:pt idx="0">
                  <c:v>9.8599999999999993E-2</c:v>
                </c:pt>
                <c:pt idx="1">
                  <c:v>0.1082</c:v>
                </c:pt>
                <c:pt idx="2">
                  <c:v>0.12379999999999999</c:v>
                </c:pt>
                <c:pt idx="3">
                  <c:v>0.1328</c:v>
                </c:pt>
                <c:pt idx="4">
                  <c:v>0.14560000000000001</c:v>
                </c:pt>
                <c:pt idx="5">
                  <c:v>0.16019999999999998</c:v>
                </c:pt>
                <c:pt idx="6">
                  <c:v>0.17859999999999998</c:v>
                </c:pt>
              </c:numCache>
            </c:numRef>
          </c:xVal>
          <c:yVal>
            <c:numRef>
              <c:f>Sheet4!$F$24:$F$30</c:f>
              <c:numCache>
                <c:formatCode>General</c:formatCode>
                <c:ptCount val="7"/>
                <c:pt idx="0">
                  <c:v>0.18</c:v>
                </c:pt>
                <c:pt idx="1">
                  <c:v>0.21</c:v>
                </c:pt>
                <c:pt idx="2">
                  <c:v>0.24</c:v>
                </c:pt>
                <c:pt idx="3">
                  <c:v>0.27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97-4CD4-9430-37F3CFF62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418127"/>
        <c:axId val="1124418607"/>
      </c:scatterChart>
      <c:valAx>
        <c:axId val="112441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18607"/>
        <c:crosses val="autoZero"/>
        <c:crossBetween val="midCat"/>
      </c:valAx>
      <c:valAx>
        <c:axId val="112441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18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Sheet4!$E$13:$E$19</c:f>
              <c:numCache>
                <c:formatCode>General</c:formatCode>
                <c:ptCount val="7"/>
                <c:pt idx="0">
                  <c:v>9.8400000000000001E-2</c:v>
                </c:pt>
                <c:pt idx="1">
                  <c:v>0.11</c:v>
                </c:pt>
                <c:pt idx="2">
                  <c:v>0.1222</c:v>
                </c:pt>
                <c:pt idx="3">
                  <c:v>0.13340000000000002</c:v>
                </c:pt>
                <c:pt idx="4">
                  <c:v>0.1474</c:v>
                </c:pt>
                <c:pt idx="5">
                  <c:v>0.16140000000000002</c:v>
                </c:pt>
                <c:pt idx="6">
                  <c:v>0.1784</c:v>
                </c:pt>
              </c:numCache>
            </c:numRef>
          </c:xVal>
          <c:yVal>
            <c:numRef>
              <c:f>Sheet4!$F$13:$F$19</c:f>
              <c:numCache>
                <c:formatCode>General</c:formatCode>
                <c:ptCount val="7"/>
                <c:pt idx="0">
                  <c:v>0.18</c:v>
                </c:pt>
                <c:pt idx="1">
                  <c:v>0.21</c:v>
                </c:pt>
                <c:pt idx="2">
                  <c:v>0.24</c:v>
                </c:pt>
                <c:pt idx="3">
                  <c:v>0.27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C4-470E-BAFA-8F959A538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887839"/>
        <c:axId val="1054888319"/>
      </c:scatterChart>
      <c:valAx>
        <c:axId val="105488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88319"/>
        <c:crosses val="autoZero"/>
        <c:crossBetween val="midCat"/>
      </c:valAx>
      <c:valAx>
        <c:axId val="105488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8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Sheet4!$E$2:$E$8</c:f>
              <c:numCache>
                <c:formatCode>General</c:formatCode>
                <c:ptCount val="7"/>
                <c:pt idx="0">
                  <c:v>9.240000000000001E-2</c:v>
                </c:pt>
                <c:pt idx="1">
                  <c:v>0.10540000000000001</c:v>
                </c:pt>
                <c:pt idx="2">
                  <c:v>0.1182</c:v>
                </c:pt>
                <c:pt idx="3">
                  <c:v>0.13700000000000001</c:v>
                </c:pt>
                <c:pt idx="4">
                  <c:v>0.14000000000000001</c:v>
                </c:pt>
                <c:pt idx="5">
                  <c:v>0.1628</c:v>
                </c:pt>
                <c:pt idx="6">
                  <c:v>0.17580000000000001</c:v>
                </c:pt>
              </c:numCache>
            </c:numRef>
          </c:xVal>
          <c:yVal>
            <c:numRef>
              <c:f>Sheet4!$F$2:$F$8</c:f>
              <c:numCache>
                <c:formatCode>General</c:formatCode>
                <c:ptCount val="7"/>
                <c:pt idx="0">
                  <c:v>0.18</c:v>
                </c:pt>
                <c:pt idx="1">
                  <c:v>0.21</c:v>
                </c:pt>
                <c:pt idx="2">
                  <c:v>0.24</c:v>
                </c:pt>
                <c:pt idx="3">
                  <c:v>0.27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54-4E3C-9F19-66FE79F8C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626207"/>
        <c:axId val="1288627647"/>
      </c:scatterChart>
      <c:valAx>
        <c:axId val="128862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627647"/>
        <c:crosses val="autoZero"/>
        <c:crossBetween val="midCat"/>
      </c:valAx>
      <c:valAx>
        <c:axId val="12886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626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(Sheet4!$E$2:$E$8,Sheet4!$E$13:$E$19,Sheet4!$E$24:$E$30)</c:f>
              <c:numCache>
                <c:formatCode>General</c:formatCode>
                <c:ptCount val="21"/>
                <c:pt idx="0">
                  <c:v>9.240000000000001E-2</c:v>
                </c:pt>
                <c:pt idx="1">
                  <c:v>0.10540000000000001</c:v>
                </c:pt>
                <c:pt idx="2">
                  <c:v>0.1182</c:v>
                </c:pt>
                <c:pt idx="3">
                  <c:v>0.13700000000000001</c:v>
                </c:pt>
                <c:pt idx="4">
                  <c:v>0.14000000000000001</c:v>
                </c:pt>
                <c:pt idx="5">
                  <c:v>0.1628</c:v>
                </c:pt>
                <c:pt idx="6">
                  <c:v>0.17580000000000001</c:v>
                </c:pt>
                <c:pt idx="7">
                  <c:v>9.8400000000000001E-2</c:v>
                </c:pt>
                <c:pt idx="8">
                  <c:v>0.11</c:v>
                </c:pt>
                <c:pt idx="9">
                  <c:v>0.1222</c:v>
                </c:pt>
                <c:pt idx="10">
                  <c:v>0.13340000000000002</c:v>
                </c:pt>
                <c:pt idx="11">
                  <c:v>0.1474</c:v>
                </c:pt>
                <c:pt idx="12">
                  <c:v>0.16140000000000002</c:v>
                </c:pt>
                <c:pt idx="13">
                  <c:v>0.1784</c:v>
                </c:pt>
                <c:pt idx="14">
                  <c:v>9.8599999999999993E-2</c:v>
                </c:pt>
                <c:pt idx="15">
                  <c:v>0.1082</c:v>
                </c:pt>
                <c:pt idx="16">
                  <c:v>0.12379999999999999</c:v>
                </c:pt>
                <c:pt idx="17">
                  <c:v>0.1328</c:v>
                </c:pt>
                <c:pt idx="18">
                  <c:v>0.14560000000000001</c:v>
                </c:pt>
                <c:pt idx="19">
                  <c:v>0.16019999999999998</c:v>
                </c:pt>
                <c:pt idx="20">
                  <c:v>0.17859999999999998</c:v>
                </c:pt>
              </c:numCache>
            </c:numRef>
          </c:xVal>
          <c:yVal>
            <c:numRef>
              <c:f>(Sheet4!$F$2:$F$8,Sheet4!$F$13:$F$19,Sheet4!$F$24:$F$30)</c:f>
              <c:numCache>
                <c:formatCode>General</c:formatCode>
                <c:ptCount val="21"/>
                <c:pt idx="0">
                  <c:v>0.18</c:v>
                </c:pt>
                <c:pt idx="1">
                  <c:v>0.21</c:v>
                </c:pt>
                <c:pt idx="2">
                  <c:v>0.24</c:v>
                </c:pt>
                <c:pt idx="3">
                  <c:v>0.27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0.18</c:v>
                </c:pt>
                <c:pt idx="8">
                  <c:v>0.21</c:v>
                </c:pt>
                <c:pt idx="9">
                  <c:v>0.24</c:v>
                </c:pt>
                <c:pt idx="10">
                  <c:v>0.27</c:v>
                </c:pt>
                <c:pt idx="11">
                  <c:v>0.3</c:v>
                </c:pt>
                <c:pt idx="12">
                  <c:v>0.35</c:v>
                </c:pt>
                <c:pt idx="13">
                  <c:v>0.4</c:v>
                </c:pt>
                <c:pt idx="14">
                  <c:v>0.18</c:v>
                </c:pt>
                <c:pt idx="15">
                  <c:v>0.21</c:v>
                </c:pt>
                <c:pt idx="16">
                  <c:v>0.24</c:v>
                </c:pt>
                <c:pt idx="17">
                  <c:v>0.27</c:v>
                </c:pt>
                <c:pt idx="18">
                  <c:v>0.3</c:v>
                </c:pt>
                <c:pt idx="19">
                  <c:v>0.35</c:v>
                </c:pt>
                <c:pt idx="20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FF-4DFF-B3C1-8C557C0FC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987023"/>
        <c:axId val="470999983"/>
      </c:scatterChart>
      <c:valAx>
        <c:axId val="47098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999983"/>
        <c:crosses val="autoZero"/>
        <c:crossBetween val="midCat"/>
      </c:valAx>
      <c:valAx>
        <c:axId val="47099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98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250825</xdr:colOff>
      <xdr:row>1</xdr:row>
      <xdr:rowOff>104775</xdr:rowOff>
    </xdr:from>
    <xdr:to>
      <xdr:col>12</xdr:col>
      <xdr:colOff>555625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54C49-ABA3-9EA7-CCA7-6FEBED8F0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301625</xdr:colOff>
      <xdr:row>9</xdr:row>
      <xdr:rowOff>111125</xdr:rowOff>
    </xdr:from>
    <xdr:to>
      <xdr:col>12</xdr:col>
      <xdr:colOff>606425</xdr:colOff>
      <xdr:row>24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22E8A0-7156-02B2-E3BC-2A9017A5B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53975</xdr:colOff>
      <xdr:row>15</xdr:row>
      <xdr:rowOff>92075</xdr:rowOff>
    </xdr:from>
    <xdr:to>
      <xdr:col>13</xdr:col>
      <xdr:colOff>358775</xdr:colOff>
      <xdr:row>30</xdr:row>
      <xdr:rowOff>73025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F6E098-5172-64B4-1A8F-45CE0830D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14</xdr:row>
      <xdr:rowOff>168275</xdr:rowOff>
    </xdr:from>
    <xdr:to>
      <xdr:col>15</xdr:col>
      <xdr:colOff>314325</xdr:colOff>
      <xdr:row>29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6942A-9BA7-DAFB-79A8-73C78B776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136525</xdr:colOff>
      <xdr:row>33</xdr:row>
      <xdr:rowOff>136525</xdr:rowOff>
    </xdr:from>
    <xdr:to>
      <xdr:col>14</xdr:col>
      <xdr:colOff>441325</xdr:colOff>
      <xdr:row>48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B2B140-D3B7-7A12-A1D5-DB7EB28B1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19</xdr:row>
      <xdr:rowOff>142875</xdr:rowOff>
    </xdr:from>
    <xdr:to>
      <xdr:col>17</xdr:col>
      <xdr:colOff>390525</xdr:colOff>
      <xdr:row>34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F8F5D-A0CB-CA44-9363-6D6E5232C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593725</xdr:colOff>
      <xdr:row>9</xdr:row>
      <xdr:rowOff>79375</xdr:rowOff>
    </xdr:from>
    <xdr:to>
      <xdr:col>17</xdr:col>
      <xdr:colOff>288925</xdr:colOff>
      <xdr:row>24</xdr:row>
      <xdr:rowOff>60325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11EC36-81CF-55D0-802C-9F0B6082E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0</xdr:row>
      <xdr:rowOff>0</xdr:rowOff>
    </xdr:from>
    <xdr:to>
      <xdr:col>17</xdr:col>
      <xdr:colOff>314325</xdr:colOff>
      <xdr:row>14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BDB8AB-E143-9301-BAEC-6DE665729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15875</xdr:colOff>
      <xdr:row>5</xdr:row>
      <xdr:rowOff>47625</xdr:rowOff>
    </xdr:from>
    <xdr:to>
      <xdr:col>16</xdr:col>
      <xdr:colOff>320675</xdr:colOff>
      <xdr:row>20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32E56A-C54A-C358-7E04-54E89F663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6" workbookViewId="0">
      <selection activeCell="C16" sqref="C16:D21"/>
    </sheetView>
  </sheetViews>
  <sheetFormatPr defaultRowHeight="14.5" x14ac:dyDescent="0.35"/>
  <sheetData>
    <row r="1" spans="1:4" x14ac:dyDescent="0.35">
      <c r="A1" t="s">
        <v>0</v>
      </c>
      <c r="C1" t="s">
        <v>2</v>
      </c>
      <c r="D1" t="s">
        <v>3</v>
      </c>
    </row>
    <row r="2" spans="1:4" x14ac:dyDescent="0.35">
      <c r="A2" t="s">
        <v>1</v>
      </c>
      <c r="B2">
        <v>1</v>
      </c>
      <c r="C2">
        <v>30</v>
      </c>
      <c r="D2">
        <v>1.37</v>
      </c>
    </row>
    <row r="3" spans="1:4" x14ac:dyDescent="0.35">
      <c r="B3">
        <v>2</v>
      </c>
      <c r="C3">
        <v>34.5</v>
      </c>
      <c r="D3">
        <v>1.58</v>
      </c>
    </row>
    <row r="4" spans="1:4" x14ac:dyDescent="0.35">
      <c r="B4">
        <f>B3+1</f>
        <v>3</v>
      </c>
      <c r="C4">
        <v>37</v>
      </c>
      <c r="D4">
        <v>1.68</v>
      </c>
    </row>
    <row r="5" spans="1:4" x14ac:dyDescent="0.35">
      <c r="B5">
        <f t="shared" ref="B5:B7" si="0">B4+1</f>
        <v>4</v>
      </c>
      <c r="C5">
        <v>40</v>
      </c>
      <c r="D5">
        <v>1.82</v>
      </c>
    </row>
    <row r="6" spans="1:4" x14ac:dyDescent="0.35">
      <c r="B6">
        <f t="shared" si="0"/>
        <v>5</v>
      </c>
      <c r="C6">
        <v>46</v>
      </c>
      <c r="D6">
        <v>2.02</v>
      </c>
    </row>
    <row r="7" spans="1:4" x14ac:dyDescent="0.35">
      <c r="B7">
        <f t="shared" si="0"/>
        <v>6</v>
      </c>
      <c r="C7">
        <v>52</v>
      </c>
      <c r="D7">
        <v>2.3199999999999998</v>
      </c>
    </row>
    <row r="9" spans="1:4" x14ac:dyDescent="0.35">
      <c r="A9" t="s">
        <v>4</v>
      </c>
      <c r="B9">
        <v>1</v>
      </c>
      <c r="C9">
        <v>30</v>
      </c>
      <c r="D9">
        <v>1.9</v>
      </c>
    </row>
    <row r="10" spans="1:4" x14ac:dyDescent="0.35">
      <c r="B10">
        <f>B9+1</f>
        <v>2</v>
      </c>
      <c r="C10">
        <v>34.5</v>
      </c>
      <c r="D10">
        <v>2.25</v>
      </c>
    </row>
    <row r="11" spans="1:4" x14ac:dyDescent="0.35">
      <c r="B11">
        <f t="shared" ref="B11:B14" si="1">B10+1</f>
        <v>3</v>
      </c>
      <c r="C11">
        <v>37</v>
      </c>
      <c r="D11">
        <v>2.4</v>
      </c>
    </row>
    <row r="12" spans="1:4" x14ac:dyDescent="0.35">
      <c r="B12">
        <f t="shared" si="1"/>
        <v>4</v>
      </c>
      <c r="C12">
        <v>40</v>
      </c>
      <c r="D12">
        <v>2.58</v>
      </c>
    </row>
    <row r="13" spans="1:4" x14ac:dyDescent="0.35">
      <c r="B13">
        <f t="shared" si="1"/>
        <v>5</v>
      </c>
      <c r="C13">
        <v>46</v>
      </c>
      <c r="D13">
        <v>3</v>
      </c>
    </row>
    <row r="14" spans="1:4" x14ac:dyDescent="0.35">
      <c r="B14">
        <f t="shared" si="1"/>
        <v>6</v>
      </c>
      <c r="C14">
        <v>52</v>
      </c>
      <c r="D14">
        <v>3.44</v>
      </c>
    </row>
    <row r="16" spans="1:4" x14ac:dyDescent="0.35">
      <c r="A16" t="s">
        <v>5</v>
      </c>
      <c r="B16">
        <v>1</v>
      </c>
      <c r="C16">
        <v>30</v>
      </c>
      <c r="D16">
        <v>1.6</v>
      </c>
    </row>
    <row r="17" spans="2:4" x14ac:dyDescent="0.35">
      <c r="B17">
        <f>B16+1</f>
        <v>2</v>
      </c>
      <c r="C17">
        <v>34.5</v>
      </c>
      <c r="D17">
        <v>1.86</v>
      </c>
    </row>
    <row r="18" spans="2:4" x14ac:dyDescent="0.35">
      <c r="B18">
        <f t="shared" ref="B18:B21" si="2">B17+1</f>
        <v>3</v>
      </c>
      <c r="C18">
        <v>37</v>
      </c>
      <c r="D18">
        <v>1.96</v>
      </c>
    </row>
    <row r="19" spans="2:4" x14ac:dyDescent="0.35">
      <c r="B19">
        <f t="shared" si="2"/>
        <v>4</v>
      </c>
      <c r="C19">
        <v>40</v>
      </c>
      <c r="D19">
        <v>2.16</v>
      </c>
    </row>
    <row r="20" spans="2:4" x14ac:dyDescent="0.35">
      <c r="B20">
        <f t="shared" si="2"/>
        <v>5</v>
      </c>
      <c r="C20">
        <v>46</v>
      </c>
      <c r="D20">
        <v>2.48</v>
      </c>
    </row>
    <row r="21" spans="2:4" x14ac:dyDescent="0.35">
      <c r="B21">
        <f t="shared" si="2"/>
        <v>6</v>
      </c>
      <c r="C21">
        <v>52</v>
      </c>
      <c r="D21">
        <v>2.86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27C0-BE6B-4FEF-802A-F0BDE1C4210F}">
  <dimension ref="A1:E21"/>
  <sheetViews>
    <sheetView workbookViewId="0">
      <selection activeCell="C16" sqref="C16:D21"/>
    </sheetView>
  </sheetViews>
  <sheetFormatPr defaultRowHeight="14.5" x14ac:dyDescent="0.35"/>
  <sheetData>
    <row r="1" spans="1:5" x14ac:dyDescent="0.35">
      <c r="A1" t="s">
        <v>6</v>
      </c>
      <c r="C1" t="s">
        <v>2</v>
      </c>
      <c r="D1" t="s">
        <v>3</v>
      </c>
      <c r="E1" t="s">
        <v>2</v>
      </c>
    </row>
    <row r="2" spans="1:5" x14ac:dyDescent="0.35">
      <c r="A2" t="s">
        <v>1</v>
      </c>
      <c r="B2">
        <v>1</v>
      </c>
      <c r="C2">
        <v>44.4</v>
      </c>
      <c r="D2">
        <v>1.95</v>
      </c>
      <c r="E2">
        <v>44.4</v>
      </c>
    </row>
    <row r="3" spans="1:5" x14ac:dyDescent="0.35">
      <c r="B3">
        <v>2</v>
      </c>
      <c r="C3">
        <v>52.5</v>
      </c>
      <c r="D3">
        <v>2.2799999999999998</v>
      </c>
      <c r="E3">
        <v>52.5</v>
      </c>
    </row>
    <row r="4" spans="1:5" x14ac:dyDescent="0.35">
      <c r="B4">
        <f>B3+1</f>
        <v>3</v>
      </c>
      <c r="C4">
        <v>57</v>
      </c>
      <c r="D4">
        <v>2.5299999999999998</v>
      </c>
      <c r="E4">
        <v>57</v>
      </c>
    </row>
    <row r="5" spans="1:5" x14ac:dyDescent="0.35">
      <c r="B5">
        <f t="shared" ref="B5:B7" si="0">B4+1</f>
        <v>4</v>
      </c>
      <c r="C5">
        <v>60</v>
      </c>
      <c r="D5">
        <v>2.64</v>
      </c>
      <c r="E5">
        <v>60</v>
      </c>
    </row>
    <row r="6" spans="1:5" x14ac:dyDescent="0.35">
      <c r="B6">
        <f t="shared" si="0"/>
        <v>5</v>
      </c>
      <c r="C6">
        <v>64</v>
      </c>
      <c r="D6">
        <v>2.82</v>
      </c>
      <c r="E6">
        <v>64</v>
      </c>
    </row>
    <row r="7" spans="1:5" x14ac:dyDescent="0.35">
      <c r="B7">
        <f t="shared" si="0"/>
        <v>6</v>
      </c>
      <c r="C7">
        <v>70</v>
      </c>
      <c r="D7">
        <v>3.07</v>
      </c>
      <c r="E7">
        <v>70</v>
      </c>
    </row>
    <row r="9" spans="1:5" x14ac:dyDescent="0.35">
      <c r="A9" t="s">
        <v>4</v>
      </c>
      <c r="B9">
        <v>1</v>
      </c>
      <c r="C9">
        <v>44.4</v>
      </c>
      <c r="D9">
        <v>2.52</v>
      </c>
      <c r="E9">
        <v>44.4</v>
      </c>
    </row>
    <row r="10" spans="1:5" x14ac:dyDescent="0.35">
      <c r="B10">
        <f>B9+1</f>
        <v>2</v>
      </c>
      <c r="C10">
        <v>52.5</v>
      </c>
      <c r="D10">
        <v>3</v>
      </c>
      <c r="E10">
        <v>52.5</v>
      </c>
    </row>
    <row r="11" spans="1:5" x14ac:dyDescent="0.35">
      <c r="B11">
        <f t="shared" ref="B11:B14" si="1">B10+1</f>
        <v>3</v>
      </c>
      <c r="C11">
        <v>57</v>
      </c>
      <c r="D11">
        <v>3.24</v>
      </c>
      <c r="E11">
        <v>57</v>
      </c>
    </row>
    <row r="12" spans="1:5" x14ac:dyDescent="0.35">
      <c r="B12">
        <f t="shared" si="1"/>
        <v>4</v>
      </c>
      <c r="C12">
        <v>60</v>
      </c>
      <c r="D12">
        <v>3.42</v>
      </c>
      <c r="E12">
        <v>60</v>
      </c>
    </row>
    <row r="13" spans="1:5" x14ac:dyDescent="0.35">
      <c r="B13">
        <f t="shared" si="1"/>
        <v>5</v>
      </c>
      <c r="C13">
        <v>64</v>
      </c>
      <c r="D13">
        <v>3.66</v>
      </c>
      <c r="E13">
        <v>64</v>
      </c>
    </row>
    <row r="14" spans="1:5" x14ac:dyDescent="0.35">
      <c r="B14">
        <f t="shared" si="1"/>
        <v>6</v>
      </c>
      <c r="C14">
        <v>70</v>
      </c>
      <c r="D14">
        <v>4</v>
      </c>
      <c r="E14">
        <v>70</v>
      </c>
    </row>
    <row r="16" spans="1:5" x14ac:dyDescent="0.35">
      <c r="A16" t="s">
        <v>5</v>
      </c>
      <c r="B16">
        <v>1</v>
      </c>
      <c r="C16">
        <v>44.4</v>
      </c>
      <c r="D16">
        <v>2.12</v>
      </c>
      <c r="E16">
        <v>44.4</v>
      </c>
    </row>
    <row r="17" spans="2:5" x14ac:dyDescent="0.35">
      <c r="B17">
        <f>B16+1</f>
        <v>2</v>
      </c>
      <c r="C17">
        <v>52.5</v>
      </c>
      <c r="D17">
        <v>2.38</v>
      </c>
      <c r="E17">
        <v>52.5</v>
      </c>
    </row>
    <row r="18" spans="2:5" x14ac:dyDescent="0.35">
      <c r="B18">
        <f t="shared" ref="B18:B21" si="2">B17+1</f>
        <v>3</v>
      </c>
      <c r="C18">
        <v>57</v>
      </c>
      <c r="D18">
        <v>2.6</v>
      </c>
      <c r="E18">
        <v>57</v>
      </c>
    </row>
    <row r="19" spans="2:5" x14ac:dyDescent="0.35">
      <c r="B19">
        <f t="shared" si="2"/>
        <v>4</v>
      </c>
      <c r="C19">
        <v>60</v>
      </c>
      <c r="D19">
        <v>2.73</v>
      </c>
      <c r="E19">
        <v>60</v>
      </c>
    </row>
    <row r="20" spans="2:5" x14ac:dyDescent="0.35">
      <c r="B20">
        <f t="shared" si="2"/>
        <v>5</v>
      </c>
      <c r="C20">
        <v>64</v>
      </c>
      <c r="D20">
        <v>2.89</v>
      </c>
      <c r="E20">
        <v>64</v>
      </c>
    </row>
    <row r="21" spans="2:5" x14ac:dyDescent="0.35">
      <c r="B21">
        <f t="shared" si="2"/>
        <v>6</v>
      </c>
      <c r="C21">
        <v>70</v>
      </c>
      <c r="D21">
        <v>3.19</v>
      </c>
      <c r="E21">
        <v>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EB2A-4A1D-4EFA-BEBA-B59DC6318C5E}">
  <dimension ref="A1:F53"/>
  <sheetViews>
    <sheetView topLeftCell="A18" workbookViewId="0">
      <selection activeCell="E35" sqref="E35"/>
    </sheetView>
  </sheetViews>
  <sheetFormatPr defaultRowHeight="14.5" x14ac:dyDescent="0.35"/>
  <sheetData>
    <row r="1" spans="1:6" x14ac:dyDescent="0.35">
      <c r="A1" t="s">
        <v>7</v>
      </c>
      <c r="C1" t="s">
        <v>2</v>
      </c>
      <c r="D1" t="s">
        <v>8</v>
      </c>
      <c r="E1" t="s">
        <v>9</v>
      </c>
      <c r="F1" t="s">
        <v>10</v>
      </c>
    </row>
    <row r="2" spans="1:6" x14ac:dyDescent="0.35">
      <c r="A2" t="s">
        <v>1</v>
      </c>
      <c r="B2">
        <v>1</v>
      </c>
      <c r="C2">
        <v>64</v>
      </c>
      <c r="D2">
        <v>300</v>
      </c>
      <c r="E2">
        <f>D2/1000</f>
        <v>0.3</v>
      </c>
      <c r="F2">
        <f>C2/100</f>
        <v>0.64</v>
      </c>
    </row>
    <row r="3" spans="1:6" x14ac:dyDescent="0.35">
      <c r="B3">
        <v>2</v>
      </c>
      <c r="C3">
        <v>56</v>
      </c>
      <c r="D3">
        <v>224</v>
      </c>
      <c r="E3">
        <f t="shared" ref="E3:E19" si="0">D3/1000</f>
        <v>0.224</v>
      </c>
      <c r="F3">
        <f t="shared" ref="F3:F31" si="1">C3/100</f>
        <v>0.56000000000000005</v>
      </c>
    </row>
    <row r="4" spans="1:6" x14ac:dyDescent="0.35">
      <c r="B4">
        <f>B3+1</f>
        <v>3</v>
      </c>
      <c r="C4">
        <v>51</v>
      </c>
      <c r="D4">
        <v>192</v>
      </c>
      <c r="E4">
        <f t="shared" si="0"/>
        <v>0.192</v>
      </c>
      <c r="F4">
        <f t="shared" si="1"/>
        <v>0.51</v>
      </c>
    </row>
    <row r="5" spans="1:6" x14ac:dyDescent="0.35">
      <c r="B5">
        <f t="shared" ref="B5:B11" si="2">B4+1</f>
        <v>4</v>
      </c>
      <c r="C5">
        <v>46.3</v>
      </c>
      <c r="D5">
        <v>162.4</v>
      </c>
      <c r="E5">
        <f t="shared" si="0"/>
        <v>0.16240000000000002</v>
      </c>
      <c r="F5">
        <f t="shared" si="1"/>
        <v>0.46299999999999997</v>
      </c>
    </row>
    <row r="6" spans="1:6" x14ac:dyDescent="0.35">
      <c r="B6">
        <f t="shared" si="2"/>
        <v>5</v>
      </c>
      <c r="C6">
        <v>43</v>
      </c>
      <c r="D6">
        <v>145</v>
      </c>
      <c r="E6">
        <f t="shared" si="0"/>
        <v>0.14499999999999999</v>
      </c>
      <c r="F6">
        <f t="shared" si="1"/>
        <v>0.43</v>
      </c>
    </row>
    <row r="7" spans="1:6" x14ac:dyDescent="0.35">
      <c r="B7">
        <f t="shared" si="2"/>
        <v>6</v>
      </c>
      <c r="C7">
        <v>40</v>
      </c>
      <c r="D7">
        <v>136.19999999999999</v>
      </c>
      <c r="E7">
        <f t="shared" si="0"/>
        <v>0.13619999999999999</v>
      </c>
      <c r="F7">
        <f t="shared" si="1"/>
        <v>0.4</v>
      </c>
    </row>
    <row r="8" spans="1:6" x14ac:dyDescent="0.35">
      <c r="B8">
        <f t="shared" si="2"/>
        <v>7</v>
      </c>
      <c r="C8">
        <v>37</v>
      </c>
      <c r="D8">
        <v>126.2</v>
      </c>
      <c r="E8">
        <f t="shared" si="0"/>
        <v>0.12620000000000001</v>
      </c>
      <c r="F8">
        <f t="shared" si="1"/>
        <v>0.37</v>
      </c>
    </row>
    <row r="9" spans="1:6" x14ac:dyDescent="0.35">
      <c r="B9">
        <f t="shared" si="2"/>
        <v>8</v>
      </c>
      <c r="C9">
        <v>33</v>
      </c>
      <c r="F9">
        <f t="shared" si="1"/>
        <v>0.33</v>
      </c>
    </row>
    <row r="10" spans="1:6" x14ac:dyDescent="0.35">
      <c r="B10">
        <f t="shared" si="2"/>
        <v>9</v>
      </c>
    </row>
    <row r="11" spans="1:6" x14ac:dyDescent="0.35">
      <c r="B11">
        <f t="shared" si="2"/>
        <v>10</v>
      </c>
    </row>
    <row r="13" spans="1:6" x14ac:dyDescent="0.35">
      <c r="A13" t="s">
        <v>4</v>
      </c>
      <c r="B13">
        <v>1</v>
      </c>
      <c r="C13">
        <v>64</v>
      </c>
      <c r="D13">
        <v>310</v>
      </c>
      <c r="E13">
        <f t="shared" si="0"/>
        <v>0.31</v>
      </c>
      <c r="F13">
        <f t="shared" si="1"/>
        <v>0.64</v>
      </c>
    </row>
    <row r="14" spans="1:6" x14ac:dyDescent="0.35">
      <c r="B14">
        <f>B13+1</f>
        <v>2</v>
      </c>
      <c r="C14">
        <v>56</v>
      </c>
      <c r="D14">
        <v>235</v>
      </c>
      <c r="E14">
        <f t="shared" si="0"/>
        <v>0.23499999999999999</v>
      </c>
      <c r="F14">
        <f t="shared" si="1"/>
        <v>0.56000000000000005</v>
      </c>
    </row>
    <row r="15" spans="1:6" x14ac:dyDescent="0.35">
      <c r="B15">
        <f t="shared" ref="B15:B22" si="3">B14+1</f>
        <v>3</v>
      </c>
      <c r="C15">
        <v>51</v>
      </c>
      <c r="D15">
        <v>198</v>
      </c>
      <c r="E15">
        <f t="shared" si="0"/>
        <v>0.19800000000000001</v>
      </c>
      <c r="F15">
        <f t="shared" si="1"/>
        <v>0.51</v>
      </c>
    </row>
    <row r="16" spans="1:6" x14ac:dyDescent="0.35">
      <c r="B16">
        <f t="shared" si="3"/>
        <v>4</v>
      </c>
      <c r="C16">
        <v>46.3</v>
      </c>
      <c r="D16">
        <v>167.4</v>
      </c>
      <c r="E16">
        <f t="shared" si="0"/>
        <v>0.16739999999999999</v>
      </c>
      <c r="F16">
        <f t="shared" si="1"/>
        <v>0.46299999999999997</v>
      </c>
    </row>
    <row r="17" spans="1:6" x14ac:dyDescent="0.35">
      <c r="B17">
        <f t="shared" si="3"/>
        <v>5</v>
      </c>
      <c r="C17">
        <v>43</v>
      </c>
      <c r="D17">
        <v>157.19999999999999</v>
      </c>
      <c r="E17">
        <f t="shared" si="0"/>
        <v>0.15719999999999998</v>
      </c>
      <c r="F17">
        <f t="shared" si="1"/>
        <v>0.43</v>
      </c>
    </row>
    <row r="18" spans="1:6" x14ac:dyDescent="0.35">
      <c r="B18">
        <f t="shared" si="3"/>
        <v>6</v>
      </c>
      <c r="C18">
        <v>40</v>
      </c>
      <c r="D18">
        <v>137.4</v>
      </c>
      <c r="E18">
        <f t="shared" si="0"/>
        <v>0.13739999999999999</v>
      </c>
      <c r="F18">
        <f t="shared" si="1"/>
        <v>0.4</v>
      </c>
    </row>
    <row r="19" spans="1:6" x14ac:dyDescent="0.35">
      <c r="B19">
        <f t="shared" si="3"/>
        <v>7</v>
      </c>
      <c r="C19">
        <v>37</v>
      </c>
      <c r="D19">
        <v>127</v>
      </c>
      <c r="E19">
        <f t="shared" si="0"/>
        <v>0.127</v>
      </c>
      <c r="F19">
        <f t="shared" si="1"/>
        <v>0.37</v>
      </c>
    </row>
    <row r="20" spans="1:6" x14ac:dyDescent="0.35">
      <c r="B20">
        <f t="shared" si="3"/>
        <v>8</v>
      </c>
      <c r="C20">
        <v>33</v>
      </c>
      <c r="F20">
        <f t="shared" si="1"/>
        <v>0.33</v>
      </c>
    </row>
    <row r="21" spans="1:6" x14ac:dyDescent="0.35">
      <c r="B21">
        <f t="shared" si="3"/>
        <v>9</v>
      </c>
    </row>
    <row r="22" spans="1:6" x14ac:dyDescent="0.35">
      <c r="B22">
        <f t="shared" si="3"/>
        <v>10</v>
      </c>
    </row>
    <row r="24" spans="1:6" x14ac:dyDescent="0.35">
      <c r="A24" t="s">
        <v>5</v>
      </c>
      <c r="B24">
        <v>1</v>
      </c>
      <c r="C24">
        <v>64</v>
      </c>
      <c r="D24">
        <v>320</v>
      </c>
      <c r="E24">
        <f>D24/1000</f>
        <v>0.32</v>
      </c>
      <c r="F24">
        <f t="shared" si="1"/>
        <v>0.64</v>
      </c>
    </row>
    <row r="25" spans="1:6" x14ac:dyDescent="0.35">
      <c r="B25">
        <f>B24+1</f>
        <v>2</v>
      </c>
      <c r="C25">
        <v>56</v>
      </c>
      <c r="D25">
        <v>222</v>
      </c>
      <c r="E25">
        <f t="shared" ref="E25:E30" si="4">D25/1000</f>
        <v>0.222</v>
      </c>
      <c r="F25">
        <f t="shared" si="1"/>
        <v>0.56000000000000005</v>
      </c>
    </row>
    <row r="26" spans="1:6" x14ac:dyDescent="0.35">
      <c r="B26">
        <f t="shared" ref="B26:B33" si="5">B25+1</f>
        <v>3</v>
      </c>
      <c r="C26">
        <v>51</v>
      </c>
      <c r="D26">
        <v>192</v>
      </c>
      <c r="E26">
        <f t="shared" si="4"/>
        <v>0.192</v>
      </c>
      <c r="F26">
        <f t="shared" si="1"/>
        <v>0.51</v>
      </c>
    </row>
    <row r="27" spans="1:6" x14ac:dyDescent="0.35">
      <c r="B27">
        <f t="shared" si="5"/>
        <v>4</v>
      </c>
      <c r="C27">
        <v>46.3</v>
      </c>
      <c r="D27">
        <v>163</v>
      </c>
      <c r="E27">
        <f t="shared" si="4"/>
        <v>0.16300000000000001</v>
      </c>
      <c r="F27">
        <f t="shared" si="1"/>
        <v>0.46299999999999997</v>
      </c>
    </row>
    <row r="28" spans="1:6" x14ac:dyDescent="0.35">
      <c r="B28">
        <f t="shared" si="5"/>
        <v>5</v>
      </c>
      <c r="C28">
        <v>43</v>
      </c>
      <c r="D28">
        <v>149.6</v>
      </c>
      <c r="E28">
        <f t="shared" si="4"/>
        <v>0.14959999999999998</v>
      </c>
      <c r="F28">
        <f t="shared" si="1"/>
        <v>0.43</v>
      </c>
    </row>
    <row r="29" spans="1:6" x14ac:dyDescent="0.35">
      <c r="B29">
        <f t="shared" si="5"/>
        <v>6</v>
      </c>
      <c r="C29">
        <v>40</v>
      </c>
      <c r="D29">
        <v>139</v>
      </c>
      <c r="E29">
        <f t="shared" si="4"/>
        <v>0.13900000000000001</v>
      </c>
      <c r="F29">
        <f t="shared" si="1"/>
        <v>0.4</v>
      </c>
    </row>
    <row r="30" spans="1:6" x14ac:dyDescent="0.35">
      <c r="B30">
        <f t="shared" si="5"/>
        <v>7</v>
      </c>
      <c r="C30">
        <v>37</v>
      </c>
      <c r="D30">
        <v>125.2</v>
      </c>
      <c r="E30">
        <f t="shared" si="4"/>
        <v>0.12520000000000001</v>
      </c>
      <c r="F30">
        <f t="shared" si="1"/>
        <v>0.37</v>
      </c>
    </row>
    <row r="31" spans="1:6" x14ac:dyDescent="0.35">
      <c r="B31">
        <f t="shared" si="5"/>
        <v>8</v>
      </c>
      <c r="C31">
        <v>33</v>
      </c>
      <c r="F31">
        <f t="shared" si="1"/>
        <v>0.33</v>
      </c>
    </row>
    <row r="32" spans="1:6" x14ac:dyDescent="0.35">
      <c r="B32">
        <f t="shared" si="5"/>
        <v>9</v>
      </c>
    </row>
    <row r="33" spans="2:6" x14ac:dyDescent="0.35">
      <c r="B33">
        <f t="shared" si="5"/>
        <v>10</v>
      </c>
      <c r="E33">
        <v>9.240000000000001E-2</v>
      </c>
      <c r="F33">
        <v>0.18</v>
      </c>
    </row>
    <row r="34" spans="2:6" x14ac:dyDescent="0.35">
      <c r="E34">
        <v>0.10540000000000001</v>
      </c>
      <c r="F34">
        <v>0.21</v>
      </c>
    </row>
    <row r="35" spans="2:6" x14ac:dyDescent="0.35">
      <c r="E35">
        <v>0.1182</v>
      </c>
      <c r="F35">
        <v>0.24</v>
      </c>
    </row>
    <row r="36" spans="2:6" x14ac:dyDescent="0.35">
      <c r="E36">
        <v>0.13700000000000001</v>
      </c>
      <c r="F36">
        <v>0.27</v>
      </c>
    </row>
    <row r="37" spans="2:6" x14ac:dyDescent="0.35">
      <c r="E37">
        <v>0.14000000000000001</v>
      </c>
      <c r="F37">
        <v>0.3</v>
      </c>
    </row>
    <row r="38" spans="2:6" x14ac:dyDescent="0.35">
      <c r="E38">
        <v>0.1628</v>
      </c>
      <c r="F38">
        <v>0.35</v>
      </c>
    </row>
    <row r="39" spans="2:6" x14ac:dyDescent="0.35">
      <c r="E39">
        <v>0.17580000000000001</v>
      </c>
      <c r="F39">
        <v>0.4</v>
      </c>
    </row>
    <row r="40" spans="2:6" x14ac:dyDescent="0.35">
      <c r="E40">
        <v>9.8400000000000001E-2</v>
      </c>
      <c r="F40">
        <v>0.18</v>
      </c>
    </row>
    <row r="41" spans="2:6" x14ac:dyDescent="0.35">
      <c r="E41">
        <v>0.11</v>
      </c>
      <c r="F41">
        <v>0.21</v>
      </c>
    </row>
    <row r="42" spans="2:6" x14ac:dyDescent="0.35">
      <c r="E42">
        <v>0.1222</v>
      </c>
      <c r="F42">
        <v>0.24</v>
      </c>
    </row>
    <row r="43" spans="2:6" x14ac:dyDescent="0.35">
      <c r="E43">
        <v>0.13340000000000002</v>
      </c>
      <c r="F43">
        <v>0.27</v>
      </c>
    </row>
    <row r="44" spans="2:6" x14ac:dyDescent="0.35">
      <c r="E44">
        <v>0.1474</v>
      </c>
      <c r="F44">
        <v>0.3</v>
      </c>
    </row>
    <row r="45" spans="2:6" x14ac:dyDescent="0.35">
      <c r="E45">
        <v>0.16140000000000002</v>
      </c>
      <c r="F45">
        <v>0.35</v>
      </c>
    </row>
    <row r="46" spans="2:6" x14ac:dyDescent="0.35">
      <c r="E46">
        <v>0.1784</v>
      </c>
      <c r="F46">
        <v>0.4</v>
      </c>
    </row>
    <row r="47" spans="2:6" x14ac:dyDescent="0.35">
      <c r="E47">
        <v>9.8599999999999993E-2</v>
      </c>
      <c r="F47">
        <v>0.18</v>
      </c>
    </row>
    <row r="48" spans="2:6" x14ac:dyDescent="0.35">
      <c r="E48">
        <v>0.1082</v>
      </c>
      <c r="F48">
        <v>0.21</v>
      </c>
    </row>
    <row r="49" spans="5:6" x14ac:dyDescent="0.35">
      <c r="E49">
        <v>0.12379999999999999</v>
      </c>
      <c r="F49">
        <v>0.24</v>
      </c>
    </row>
    <row r="50" spans="5:6" x14ac:dyDescent="0.35">
      <c r="E50">
        <v>0.1328</v>
      </c>
      <c r="F50">
        <v>0.27</v>
      </c>
    </row>
    <row r="51" spans="5:6" x14ac:dyDescent="0.35">
      <c r="E51">
        <v>0.14560000000000001</v>
      </c>
      <c r="F51">
        <v>0.3</v>
      </c>
    </row>
    <row r="52" spans="5:6" x14ac:dyDescent="0.35">
      <c r="E52">
        <v>0.16019999999999998</v>
      </c>
      <c r="F52">
        <v>0.35</v>
      </c>
    </row>
    <row r="53" spans="5:6" x14ac:dyDescent="0.35">
      <c r="E53">
        <v>0.17859999999999998</v>
      </c>
      <c r="F53">
        <v>0.4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4325-2256-472E-AD5B-123F804A77DF}">
  <dimension ref="A1:F33"/>
  <sheetViews>
    <sheetView workbookViewId="0">
      <selection activeCell="H12" sqref="H12"/>
    </sheetView>
  </sheetViews>
  <sheetFormatPr defaultRowHeight="14.5" x14ac:dyDescent="0.35"/>
  <sheetData>
    <row r="1" spans="1:6" x14ac:dyDescent="0.35">
      <c r="A1" t="s">
        <v>7</v>
      </c>
      <c r="C1" t="s">
        <v>11</v>
      </c>
      <c r="D1" t="s">
        <v>8</v>
      </c>
      <c r="E1" t="s">
        <v>9</v>
      </c>
      <c r="F1" t="s">
        <v>10</v>
      </c>
    </row>
    <row r="2" spans="1:6" x14ac:dyDescent="0.35">
      <c r="A2" t="s">
        <v>1</v>
      </c>
      <c r="B2">
        <v>1</v>
      </c>
      <c r="C2">
        <v>18</v>
      </c>
      <c r="D2">
        <v>92.4</v>
      </c>
      <c r="E2">
        <f>D2/1000</f>
        <v>9.240000000000001E-2</v>
      </c>
      <c r="F2">
        <f>C2/100</f>
        <v>0.18</v>
      </c>
    </row>
    <row r="3" spans="1:6" x14ac:dyDescent="0.35">
      <c r="B3">
        <v>2</v>
      </c>
      <c r="C3">
        <v>21</v>
      </c>
      <c r="D3">
        <v>105.4</v>
      </c>
      <c r="E3">
        <f t="shared" ref="E3:E19" si="0">D3/1000</f>
        <v>0.10540000000000001</v>
      </c>
      <c r="F3">
        <f t="shared" ref="F3:F31" si="1">C3/100</f>
        <v>0.21</v>
      </c>
    </row>
    <row r="4" spans="1:6" x14ac:dyDescent="0.35">
      <c r="B4">
        <f>B3+1</f>
        <v>3</v>
      </c>
      <c r="C4">
        <v>24</v>
      </c>
      <c r="D4">
        <v>118.2</v>
      </c>
      <c r="E4">
        <f t="shared" si="0"/>
        <v>0.1182</v>
      </c>
      <c r="F4">
        <f t="shared" si="1"/>
        <v>0.24</v>
      </c>
    </row>
    <row r="5" spans="1:6" x14ac:dyDescent="0.35">
      <c r="B5">
        <f t="shared" ref="B5:B11" si="2">B4+1</f>
        <v>4</v>
      </c>
      <c r="C5">
        <v>27</v>
      </c>
      <c r="D5">
        <v>137</v>
      </c>
      <c r="E5">
        <f t="shared" si="0"/>
        <v>0.13700000000000001</v>
      </c>
      <c r="F5">
        <f t="shared" si="1"/>
        <v>0.27</v>
      </c>
    </row>
    <row r="6" spans="1:6" x14ac:dyDescent="0.35">
      <c r="B6">
        <f t="shared" si="2"/>
        <v>5</v>
      </c>
      <c r="C6">
        <v>30</v>
      </c>
      <c r="D6">
        <v>140</v>
      </c>
      <c r="E6">
        <f t="shared" si="0"/>
        <v>0.14000000000000001</v>
      </c>
      <c r="F6">
        <f t="shared" si="1"/>
        <v>0.3</v>
      </c>
    </row>
    <row r="7" spans="1:6" x14ac:dyDescent="0.35">
      <c r="B7">
        <f t="shared" si="2"/>
        <v>6</v>
      </c>
      <c r="C7">
        <v>35</v>
      </c>
      <c r="D7">
        <v>162.80000000000001</v>
      </c>
      <c r="E7">
        <f t="shared" si="0"/>
        <v>0.1628</v>
      </c>
      <c r="F7">
        <f t="shared" si="1"/>
        <v>0.35</v>
      </c>
    </row>
    <row r="8" spans="1:6" x14ac:dyDescent="0.35">
      <c r="B8">
        <f t="shared" si="2"/>
        <v>7</v>
      </c>
      <c r="C8">
        <v>40</v>
      </c>
      <c r="D8">
        <v>175.8</v>
      </c>
      <c r="E8">
        <f t="shared" si="0"/>
        <v>0.17580000000000001</v>
      </c>
      <c r="F8">
        <f t="shared" si="1"/>
        <v>0.4</v>
      </c>
    </row>
    <row r="9" spans="1:6" x14ac:dyDescent="0.35">
      <c r="B9">
        <f t="shared" si="2"/>
        <v>8</v>
      </c>
      <c r="F9">
        <f t="shared" si="1"/>
        <v>0</v>
      </c>
    </row>
    <row r="10" spans="1:6" x14ac:dyDescent="0.35">
      <c r="B10">
        <f t="shared" si="2"/>
        <v>9</v>
      </c>
    </row>
    <row r="11" spans="1:6" x14ac:dyDescent="0.35">
      <c r="B11">
        <f t="shared" si="2"/>
        <v>10</v>
      </c>
    </row>
    <row r="13" spans="1:6" x14ac:dyDescent="0.35">
      <c r="A13" t="s">
        <v>4</v>
      </c>
      <c r="B13">
        <v>1</v>
      </c>
      <c r="C13">
        <v>18</v>
      </c>
      <c r="D13">
        <v>98.4</v>
      </c>
      <c r="E13">
        <f t="shared" si="0"/>
        <v>9.8400000000000001E-2</v>
      </c>
      <c r="F13">
        <f t="shared" si="1"/>
        <v>0.18</v>
      </c>
    </row>
    <row r="14" spans="1:6" x14ac:dyDescent="0.35">
      <c r="B14">
        <f>B13+1</f>
        <v>2</v>
      </c>
      <c r="C14">
        <v>21</v>
      </c>
      <c r="D14">
        <v>110</v>
      </c>
      <c r="E14">
        <f t="shared" si="0"/>
        <v>0.11</v>
      </c>
      <c r="F14">
        <f t="shared" si="1"/>
        <v>0.21</v>
      </c>
    </row>
    <row r="15" spans="1:6" x14ac:dyDescent="0.35">
      <c r="B15">
        <f t="shared" ref="B15:B22" si="3">B14+1</f>
        <v>3</v>
      </c>
      <c r="C15">
        <v>24</v>
      </c>
      <c r="D15">
        <v>122.2</v>
      </c>
      <c r="E15">
        <f t="shared" si="0"/>
        <v>0.1222</v>
      </c>
      <c r="F15">
        <f t="shared" si="1"/>
        <v>0.24</v>
      </c>
    </row>
    <row r="16" spans="1:6" x14ac:dyDescent="0.35">
      <c r="B16">
        <f t="shared" si="3"/>
        <v>4</v>
      </c>
      <c r="C16">
        <v>27</v>
      </c>
      <c r="D16">
        <v>133.4</v>
      </c>
      <c r="E16">
        <f t="shared" si="0"/>
        <v>0.13340000000000002</v>
      </c>
      <c r="F16">
        <f t="shared" si="1"/>
        <v>0.27</v>
      </c>
    </row>
    <row r="17" spans="1:6" x14ac:dyDescent="0.35">
      <c r="B17">
        <f t="shared" si="3"/>
        <v>5</v>
      </c>
      <c r="C17">
        <v>30</v>
      </c>
      <c r="D17">
        <v>147.4</v>
      </c>
      <c r="E17">
        <f t="shared" si="0"/>
        <v>0.1474</v>
      </c>
      <c r="F17">
        <f t="shared" si="1"/>
        <v>0.3</v>
      </c>
    </row>
    <row r="18" spans="1:6" x14ac:dyDescent="0.35">
      <c r="B18">
        <f t="shared" si="3"/>
        <v>6</v>
      </c>
      <c r="C18">
        <v>35</v>
      </c>
      <c r="D18">
        <v>161.4</v>
      </c>
      <c r="E18">
        <f t="shared" si="0"/>
        <v>0.16140000000000002</v>
      </c>
      <c r="F18">
        <f t="shared" si="1"/>
        <v>0.35</v>
      </c>
    </row>
    <row r="19" spans="1:6" x14ac:dyDescent="0.35">
      <c r="B19">
        <f t="shared" si="3"/>
        <v>7</v>
      </c>
      <c r="C19">
        <v>40</v>
      </c>
      <c r="D19">
        <v>178.4</v>
      </c>
      <c r="E19">
        <f t="shared" si="0"/>
        <v>0.1784</v>
      </c>
      <c r="F19">
        <f t="shared" si="1"/>
        <v>0.4</v>
      </c>
    </row>
    <row r="20" spans="1:6" x14ac:dyDescent="0.35">
      <c r="B20">
        <f t="shared" si="3"/>
        <v>8</v>
      </c>
      <c r="F20">
        <f t="shared" si="1"/>
        <v>0</v>
      </c>
    </row>
    <row r="21" spans="1:6" x14ac:dyDescent="0.35">
      <c r="B21">
        <f t="shared" si="3"/>
        <v>9</v>
      </c>
    </row>
    <row r="22" spans="1:6" x14ac:dyDescent="0.35">
      <c r="B22">
        <f t="shared" si="3"/>
        <v>10</v>
      </c>
    </row>
    <row r="24" spans="1:6" x14ac:dyDescent="0.35">
      <c r="A24" t="s">
        <v>5</v>
      </c>
      <c r="B24">
        <v>1</v>
      </c>
      <c r="C24">
        <v>18</v>
      </c>
      <c r="D24">
        <v>98.6</v>
      </c>
      <c r="E24">
        <f>D24/1000</f>
        <v>9.8599999999999993E-2</v>
      </c>
      <c r="F24">
        <f t="shared" si="1"/>
        <v>0.18</v>
      </c>
    </row>
    <row r="25" spans="1:6" x14ac:dyDescent="0.35">
      <c r="B25">
        <f>B24+1</f>
        <v>2</v>
      </c>
      <c r="C25">
        <v>21</v>
      </c>
      <c r="D25">
        <v>108.2</v>
      </c>
      <c r="E25">
        <f t="shared" ref="E25:E30" si="4">D25/1000</f>
        <v>0.1082</v>
      </c>
      <c r="F25">
        <f t="shared" si="1"/>
        <v>0.21</v>
      </c>
    </row>
    <row r="26" spans="1:6" x14ac:dyDescent="0.35">
      <c r="B26">
        <f t="shared" ref="B26:B33" si="5">B25+1</f>
        <v>3</v>
      </c>
      <c r="C26">
        <v>24</v>
      </c>
      <c r="D26">
        <v>123.8</v>
      </c>
      <c r="E26">
        <f t="shared" si="4"/>
        <v>0.12379999999999999</v>
      </c>
      <c r="F26">
        <f t="shared" si="1"/>
        <v>0.24</v>
      </c>
    </row>
    <row r="27" spans="1:6" x14ac:dyDescent="0.35">
      <c r="B27">
        <f t="shared" si="5"/>
        <v>4</v>
      </c>
      <c r="C27">
        <v>27</v>
      </c>
      <c r="D27">
        <v>132.80000000000001</v>
      </c>
      <c r="E27">
        <f t="shared" si="4"/>
        <v>0.1328</v>
      </c>
      <c r="F27">
        <f t="shared" si="1"/>
        <v>0.27</v>
      </c>
    </row>
    <row r="28" spans="1:6" x14ac:dyDescent="0.35">
      <c r="B28">
        <f t="shared" si="5"/>
        <v>5</v>
      </c>
      <c r="C28">
        <v>30</v>
      </c>
      <c r="D28">
        <v>145.6</v>
      </c>
      <c r="E28">
        <f t="shared" si="4"/>
        <v>0.14560000000000001</v>
      </c>
      <c r="F28">
        <f t="shared" si="1"/>
        <v>0.3</v>
      </c>
    </row>
    <row r="29" spans="1:6" x14ac:dyDescent="0.35">
      <c r="B29">
        <f t="shared" si="5"/>
        <v>6</v>
      </c>
      <c r="C29">
        <v>35</v>
      </c>
      <c r="D29">
        <v>160.19999999999999</v>
      </c>
      <c r="E29">
        <f t="shared" si="4"/>
        <v>0.16019999999999998</v>
      </c>
      <c r="F29">
        <f t="shared" si="1"/>
        <v>0.35</v>
      </c>
    </row>
    <row r="30" spans="1:6" x14ac:dyDescent="0.35">
      <c r="B30">
        <f t="shared" si="5"/>
        <v>7</v>
      </c>
      <c r="C30">
        <v>40</v>
      </c>
      <c r="D30">
        <v>178.6</v>
      </c>
      <c r="E30">
        <f t="shared" si="4"/>
        <v>0.17859999999999998</v>
      </c>
      <c r="F30">
        <f t="shared" si="1"/>
        <v>0.4</v>
      </c>
    </row>
    <row r="31" spans="1:6" x14ac:dyDescent="0.35">
      <c r="B31">
        <f t="shared" si="5"/>
        <v>8</v>
      </c>
      <c r="F31">
        <f t="shared" si="1"/>
        <v>0</v>
      </c>
    </row>
    <row r="32" spans="1:6" x14ac:dyDescent="0.35">
      <c r="B32">
        <f t="shared" si="5"/>
        <v>9</v>
      </c>
    </row>
    <row r="33" spans="2:2" x14ac:dyDescent="0.35">
      <c r="B33">
        <f t="shared" si="5"/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2015-06-05T18:17:20Z</dcterms:created>
  <dcterms:modified xsi:type="dcterms:W3CDTF">2025-03-19T07:43:24Z</dcterms:modified>
</cp:coreProperties>
</file>