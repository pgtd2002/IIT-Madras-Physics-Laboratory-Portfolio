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BE61C868-08B5-4919-BABA-473A8248B393}" xr6:coauthVersionLast="47" xr6:coauthVersionMax="47" xr10:uidLastSave="{00000000-0000-0000-0000-000000000000}"/>
  <bookViews>
    <workbookView xWindow="-110" yWindow="-110" windowWidth="19420" windowHeight="10300" xr2:uid="{856D5632-41D9-453D-A034-86DB3D06D659}"/>
  </bookViews>
  <sheets>
    <sheet name="alpha_copper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G3" i="1" l="1"/>
  <c r="G4" i="1"/>
  <c r="G5" i="1"/>
  <c r="G6" i="1"/>
  <c r="I3" i="1" s="1"/>
  <c r="G7" i="1"/>
  <c r="G8" i="1"/>
  <c r="I4" i="1" s="1"/>
  <c r="G9" i="1"/>
  <c r="G10" i="1"/>
  <c r="G11" i="1"/>
  <c r="G12" i="1"/>
  <c r="J5" i="1" s="1"/>
  <c r="G13" i="1"/>
  <c r="G14" i="1"/>
  <c r="J6" i="1" s="1"/>
  <c r="G15" i="1"/>
  <c r="G16" i="1"/>
  <c r="G17" i="1"/>
  <c r="G18" i="1"/>
  <c r="J7" i="1" s="1"/>
  <c r="G19" i="1"/>
  <c r="G20" i="1"/>
  <c r="J8" i="1" s="1"/>
  <c r="G21" i="1"/>
  <c r="G22" i="1"/>
  <c r="G23" i="1"/>
  <c r="G24" i="1"/>
  <c r="I9" i="1" s="1"/>
  <c r="G25" i="1"/>
  <c r="G2" i="1"/>
  <c r="J4" i="1"/>
  <c r="J2" i="1"/>
  <c r="I8" i="1"/>
  <c r="I2" i="1"/>
  <c r="H3" i="1"/>
  <c r="H4" i="1"/>
  <c r="H5" i="1"/>
  <c r="H6" i="1"/>
  <c r="H7" i="1"/>
  <c r="H8" i="1"/>
  <c r="H9" i="1"/>
  <c r="H2" i="1"/>
  <c r="I7" i="1" l="1"/>
  <c r="K7" i="1" s="1"/>
  <c r="J9" i="1"/>
  <c r="J3" i="1"/>
  <c r="I6" i="1"/>
  <c r="K6" i="1" s="1"/>
  <c r="I5" i="1"/>
  <c r="K5" i="1" s="1"/>
  <c r="K2" i="1"/>
  <c r="K9" i="1"/>
  <c r="K3" i="1"/>
  <c r="K8" i="1"/>
  <c r="K4" i="1"/>
</calcChain>
</file>

<file path=xl/sharedStrings.xml><?xml version="1.0" encoding="utf-8"?>
<sst xmlns="http://purl.oclc.org/ooxml/spreadsheetml/main" count="59" uniqueCount="13">
  <si>
    <t>Source</t>
  </si>
  <si>
    <t>Shield Material</t>
  </si>
  <si>
    <t>Shield Thickness (mm)</t>
  </si>
  <si>
    <t>Distance (cm)</t>
  </si>
  <si>
    <t>Count Duration (sec)</t>
  </si>
  <si>
    <t>Count</t>
  </si>
  <si>
    <t>Am-242</t>
  </si>
  <si>
    <t>copper</t>
  </si>
  <si>
    <t>avg Count</t>
  </si>
  <si>
    <t>Thickness</t>
  </si>
  <si>
    <t>error in Count</t>
  </si>
  <si>
    <t>error(%)</t>
  </si>
  <si>
    <t>Count- average surrounding noise(10)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</si>
</sst>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alpha_copper!$I$1</c:f>
              <c:strCache>
                <c:ptCount val="1"/>
                <c:pt idx="0">
                  <c:v>avg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7.0505249343832017E-3"/>
                  <c:y val="0.16708223972003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%">
                        <a:solidFill>
                          <a:schemeClr val="tx1">
                            <a:lumMod val="65%"/>
                            <a:lumOff val="35%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%"/>
                      <a:t>y = 17.304e</a:t>
                    </a:r>
                    <a:r>
                      <a:rPr lang="en-US" sz="1100" baseline="30%"/>
                      <a:t>0.0073x</a:t>
                    </a:r>
                    <a:endParaRPr lang="en-US" sz="11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alpha_copper!$H$2:$H$25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</c:numCache>
            </c:numRef>
          </c:xVal>
          <c:yVal>
            <c:numRef>
              <c:f>alpha_copper!$I$2:$I$25</c:f>
              <c:numCache>
                <c:formatCode>0.00</c:formatCode>
                <c:ptCount val="24"/>
                <c:pt idx="0">
                  <c:v>5.666666666666667</c:v>
                </c:pt>
                <c:pt idx="1">
                  <c:v>2.6666666666666665</c:v>
                </c:pt>
                <c:pt idx="2">
                  <c:v>2.3333333333333335</c:v>
                </c:pt>
                <c:pt idx="3">
                  <c:v>-1</c:v>
                </c:pt>
                <c:pt idx="4">
                  <c:v>3</c:v>
                </c:pt>
                <c:pt idx="5">
                  <c:v>2.3333333333333335</c:v>
                </c:pt>
                <c:pt idx="6">
                  <c:v>4</c:v>
                </c:pt>
                <c:pt idx="7">
                  <c:v>4.666666666666667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8-458A-B653-5B00F6E25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570176"/>
        <c:axId val="1275569216"/>
      </c:scatterChart>
      <c:valAx>
        <c:axId val="127557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69216"/>
        <c:crosses val="autoZero"/>
        <c:crossBetween val="midCat"/>
      </c:valAx>
      <c:valAx>
        <c:axId val="1275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7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27021917646359E-2"/>
          <c:y val="0.15457634951387286"/>
          <c:w val="0.87723339219174268"/>
          <c:h val="0.719388641422941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alpha_copper!$I$1</c:f>
              <c:strCache>
                <c:ptCount val="1"/>
                <c:pt idx="0">
                  <c:v>avg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9.8209304004778689E-2"/>
                  <c:y val="-4.43422980591128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%">
                        <a:solidFill>
                          <a:schemeClr val="tx1">
                            <a:lumMod val="65%"/>
                            <a:lumOff val="35%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%"/>
                      <a:t>y = 12.317e</a:t>
                    </a:r>
                    <a:r>
                      <a:rPr lang="en-US" sz="1200" b="1" baseline="30%"/>
                      <a:t>-0.348x</a:t>
                    </a:r>
                    <a:endParaRPr lang="en-US" sz="12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alpha_copper!$H$2:$H$5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alpha_copper!$I$2:$I$5</c:f>
              <c:numCache>
                <c:formatCode>0.00</c:formatCode>
                <c:ptCount val="4"/>
                <c:pt idx="0">
                  <c:v>5.666666666666667</c:v>
                </c:pt>
                <c:pt idx="1">
                  <c:v>2.6666666666666665</c:v>
                </c:pt>
                <c:pt idx="2">
                  <c:v>2.3333333333333335</c:v>
                </c:pt>
                <c:pt idx="3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52-4426-B0A6-AEAEF2BF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401456"/>
        <c:axId val="395409136"/>
      </c:scatterChart>
      <c:valAx>
        <c:axId val="3954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09136"/>
        <c:crosses val="autoZero"/>
        <c:crossBetween val="midCat"/>
      </c:valAx>
      <c:valAx>
        <c:axId val="3954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0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06268748810248"/>
          <c:y val="0.21686641896453276"/>
          <c:w val="0.27061421844923361"/>
          <c:h val="0.152371269618385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alpha_copper!$K$1</c:f>
              <c:strCache>
                <c:ptCount val="1"/>
                <c:pt idx="0">
                  <c:v>error(%)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alpha_copper!$H$2:$H$25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</c:numCache>
            </c:numRef>
          </c:xVal>
          <c:yVal>
            <c:numRef>
              <c:f>alpha_copper!$K$2:$K$25</c:f>
              <c:numCache>
                <c:formatCode>0.00</c:formatCode>
                <c:ptCount val="24"/>
                <c:pt idx="0">
                  <c:v>35.780956060577765</c:v>
                </c:pt>
                <c:pt idx="1">
                  <c:v>45.069390943299879</c:v>
                </c:pt>
                <c:pt idx="2">
                  <c:v>79.539490897571753</c:v>
                </c:pt>
                <c:pt idx="3">
                  <c:v>-152.75252316519467</c:v>
                </c:pt>
                <c:pt idx="4">
                  <c:v>57.735026918962582</c:v>
                </c:pt>
                <c:pt idx="5">
                  <c:v>37.796447300922729</c:v>
                </c:pt>
                <c:pt idx="6">
                  <c:v>14.433756729740645</c:v>
                </c:pt>
                <c:pt idx="7">
                  <c:v>51.507875363771284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75-4E78-AA66-EBA54407C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519136"/>
        <c:axId val="384526816"/>
      </c:scatterChart>
      <c:valAx>
        <c:axId val="38451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26816"/>
        <c:crosses val="autoZero"/>
        <c:crossBetween val="midCat"/>
      </c:valAx>
      <c:valAx>
        <c:axId val="3845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in count(%)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1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alpha_copper!$H$2:$H$3</c:f>
              <c:numCache>
                <c:formatCode>General</c:formatCode>
                <c:ptCount val="2"/>
                <c:pt idx="0">
                  <c:v>0.5</c:v>
                </c:pt>
                <c:pt idx="1">
                  <c:v>1</c:v>
                </c:pt>
              </c:numCache>
            </c:numRef>
          </c:xVal>
          <c:yVal>
            <c:numRef>
              <c:f>alpha_copper!$I$2:$I$3</c:f>
              <c:numCache>
                <c:formatCode>0.00</c:formatCode>
                <c:ptCount val="2"/>
                <c:pt idx="0">
                  <c:v>5.666666666666667</c:v>
                </c:pt>
                <c:pt idx="1">
                  <c:v>2.6666666666666665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79-402B-AC6C-EF20C753F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401936"/>
        <c:axId val="395395696"/>
      </c:scatterChart>
      <c:valAx>
        <c:axId val="39540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95696"/>
        <c:crosses val="autoZero"/>
        <c:crossBetween val="midCat"/>
      </c:valAx>
      <c:valAx>
        <c:axId val="3953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0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4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14</xdr:col>
      <xdr:colOff>449384</xdr:colOff>
      <xdr:row>3</xdr:row>
      <xdr:rowOff>180731</xdr:rowOff>
    </xdr:from>
    <xdr:to>
      <xdr:col>22</xdr:col>
      <xdr:colOff>143608</xdr:colOff>
      <xdr:row>18</xdr:row>
      <xdr:rowOff>162658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ADDF5-22E9-F05D-A962-F910B428A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16</xdr:col>
      <xdr:colOff>30529</xdr:colOff>
      <xdr:row>6</xdr:row>
      <xdr:rowOff>148249</xdr:rowOff>
    </xdr:from>
    <xdr:to>
      <xdr:col>23</xdr:col>
      <xdr:colOff>399318</xdr:colOff>
      <xdr:row>22</xdr:row>
      <xdr:rowOff>30529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9B0675-D2C2-3C4C-CD72-6DA16D9C5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11</xdr:col>
      <xdr:colOff>516548</xdr:colOff>
      <xdr:row>26</xdr:row>
      <xdr:rowOff>72413</xdr:rowOff>
    </xdr:from>
    <xdr:to>
      <xdr:col>19</xdr:col>
      <xdr:colOff>203932</xdr:colOff>
      <xdr:row>41</xdr:row>
      <xdr:rowOff>68017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EB9E10-1D3F-56F5-EB0B-642D626D1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6</xdr:col>
      <xdr:colOff>15876</xdr:colOff>
      <xdr:row>4</xdr:row>
      <xdr:rowOff>102943</xdr:rowOff>
    </xdr:from>
    <xdr:to>
      <xdr:col>13</xdr:col>
      <xdr:colOff>57395</xdr:colOff>
      <xdr:row>19</xdr:row>
      <xdr:rowOff>98547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A1184C-F699-7C3C-EC7C-175F1EE1C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25BE-216A-465F-89F0-EBC1F0713365}">
  <dimension ref="A1:K25"/>
  <sheetViews>
    <sheetView tabSelected="1" zoomScale="104" workbookViewId="0">
      <selection activeCell="H2" sqref="H2:I3"/>
    </sheetView>
  </sheetViews>
  <sheetFormatPr defaultRowHeight="14.5" x14ac:dyDescent="0.35"/>
  <cols>
    <col min="4" max="4" width="18.08984375" customWidth="1"/>
    <col min="6" max="6" width="19.1796875" customWidth="1"/>
    <col min="9" max="9" width="8.7265625" style="1"/>
    <col min="10" max="10" width="12.453125" style="1" customWidth="1"/>
    <col min="11" max="11" width="8.7265625" style="1"/>
  </cols>
  <sheetData>
    <row r="1" spans="1:11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12</v>
      </c>
      <c r="H1" t="s">
        <v>9</v>
      </c>
      <c r="I1" s="1" t="s">
        <v>8</v>
      </c>
      <c r="J1" s="1" t="s">
        <v>10</v>
      </c>
      <c r="K1" s="1" t="s">
        <v>11</v>
      </c>
    </row>
    <row r="2" spans="1:11" x14ac:dyDescent="0.35">
      <c r="A2" t="s">
        <v>6</v>
      </c>
      <c r="B2">
        <v>24</v>
      </c>
      <c r="C2" t="s">
        <v>7</v>
      </c>
      <c r="D2">
        <v>0.5</v>
      </c>
      <c r="E2">
        <v>6</v>
      </c>
      <c r="F2">
        <v>10</v>
      </c>
      <c r="G2">
        <f>B2-15</f>
        <v>9</v>
      </c>
      <c r="H2">
        <f ca="1">AVERAGE(OFFSET($D$2, (ROW()-ROW($F$2))*3, 0, 3, 1))</f>
        <v>0.5</v>
      </c>
      <c r="I2" s="1">
        <f ca="1">AVERAGE(OFFSET($G$2, (ROW()-ROW($F$2))*3, 0, 3, 1))</f>
        <v>5.666666666666667</v>
      </c>
      <c r="J2" s="1">
        <f ca="1">_xlfn.STDEV.S(OFFSET($G$2, (ROW()-ROW($F$2))*3, 0, 3, 1))/SQRT(3)</f>
        <v>2.0275875100994067</v>
      </c>
      <c r="K2" s="1">
        <f ca="1">100*J2/I2</f>
        <v>35.780956060577765</v>
      </c>
    </row>
    <row r="3" spans="1:11" x14ac:dyDescent="0.35">
      <c r="A3" t="s">
        <v>6</v>
      </c>
      <c r="B3">
        <v>17</v>
      </c>
      <c r="C3" t="s">
        <v>7</v>
      </c>
      <c r="D3">
        <v>0.5</v>
      </c>
      <c r="E3">
        <v>6</v>
      </c>
      <c r="F3">
        <v>10</v>
      </c>
      <c r="G3">
        <f t="shared" ref="G3:G25" si="0">B3-15</f>
        <v>2</v>
      </c>
      <c r="H3">
        <f ca="1">AVERAGE(OFFSET($D$2, (ROW()-ROW($F$2))*3, 0, 3, 1))</f>
        <v>1</v>
      </c>
      <c r="I3" s="1">
        <f t="shared" ref="I3:I9" ca="1" si="1">AVERAGE(OFFSET($G$2, (ROW()-ROW($F$2))*3, 0, 3, 1))</f>
        <v>2.6666666666666665</v>
      </c>
      <c r="J3" s="1">
        <f t="shared" ref="J3:J9" ca="1" si="2">_xlfn.STDEV.S(OFFSET($G$2, (ROW()-ROW($F$2))*3, 0, 3, 1))/SQRT(3)</f>
        <v>1.2018504251546633</v>
      </c>
      <c r="K3" s="1">
        <f t="shared" ref="K3:K9" ca="1" si="3">100*J3/I3</f>
        <v>45.069390943299879</v>
      </c>
    </row>
    <row r="4" spans="1:11" x14ac:dyDescent="0.35">
      <c r="A4" t="s">
        <v>6</v>
      </c>
      <c r="B4">
        <v>21</v>
      </c>
      <c r="C4" t="s">
        <v>7</v>
      </c>
      <c r="D4">
        <v>0.5</v>
      </c>
      <c r="E4">
        <v>6</v>
      </c>
      <c r="F4">
        <v>10</v>
      </c>
      <c r="G4">
        <f t="shared" si="0"/>
        <v>6</v>
      </c>
      <c r="H4">
        <f ca="1">AVERAGE(OFFSET($D$2, (ROW()-ROW($F$2))*3, 0, 3, 1))</f>
        <v>2</v>
      </c>
      <c r="I4" s="1">
        <f t="shared" ca="1" si="1"/>
        <v>2.3333333333333335</v>
      </c>
      <c r="J4" s="1">
        <f t="shared" ca="1" si="2"/>
        <v>1.8559214542766742</v>
      </c>
      <c r="K4" s="1">
        <f t="shared" ca="1" si="3"/>
        <v>79.539490897571753</v>
      </c>
    </row>
    <row r="5" spans="1:11" x14ac:dyDescent="0.35">
      <c r="A5" t="s">
        <v>6</v>
      </c>
      <c r="B5">
        <v>16</v>
      </c>
      <c r="C5" t="s">
        <v>7</v>
      </c>
      <c r="D5">
        <v>1</v>
      </c>
      <c r="E5">
        <v>6</v>
      </c>
      <c r="F5">
        <v>10</v>
      </c>
      <c r="G5">
        <f t="shared" si="0"/>
        <v>1</v>
      </c>
      <c r="H5">
        <f ca="1">AVERAGE(OFFSET($D$2, (ROW()-ROW($F$2))*3, 0, 3, 1))</f>
        <v>3</v>
      </c>
      <c r="I5" s="1">
        <f t="shared" ca="1" si="1"/>
        <v>-1</v>
      </c>
      <c r="J5" s="1">
        <f t="shared" ca="1" si="2"/>
        <v>1.5275252316519468</v>
      </c>
      <c r="K5" s="1">
        <f t="shared" ca="1" si="3"/>
        <v>-152.75252316519467</v>
      </c>
    </row>
    <row r="6" spans="1:11" x14ac:dyDescent="0.35">
      <c r="A6" t="s">
        <v>6</v>
      </c>
      <c r="B6">
        <v>17</v>
      </c>
      <c r="C6" t="s">
        <v>7</v>
      </c>
      <c r="D6">
        <v>1</v>
      </c>
      <c r="E6">
        <v>6</v>
      </c>
      <c r="F6">
        <v>10</v>
      </c>
      <c r="G6">
        <f t="shared" si="0"/>
        <v>2</v>
      </c>
      <c r="H6">
        <f ca="1">AVERAGE(OFFSET($D$2, (ROW()-ROW($F$2))*3, 0, 3, 1))</f>
        <v>4</v>
      </c>
      <c r="I6" s="1">
        <f t="shared" ca="1" si="1"/>
        <v>3</v>
      </c>
      <c r="J6" s="1">
        <f t="shared" ca="1" si="2"/>
        <v>1.7320508075688774</v>
      </c>
      <c r="K6" s="1">
        <f t="shared" ca="1" si="3"/>
        <v>57.735026918962582</v>
      </c>
    </row>
    <row r="7" spans="1:11" x14ac:dyDescent="0.35">
      <c r="A7" t="s">
        <v>6</v>
      </c>
      <c r="B7">
        <v>20</v>
      </c>
      <c r="C7" t="s">
        <v>7</v>
      </c>
      <c r="D7">
        <v>1</v>
      </c>
      <c r="E7">
        <v>6</v>
      </c>
      <c r="F7">
        <v>10</v>
      </c>
      <c r="G7">
        <f t="shared" si="0"/>
        <v>5</v>
      </c>
      <c r="H7">
        <f ca="1">AVERAGE(OFFSET($D$2, (ROW()-ROW($F$2))*3, 0, 3, 1))</f>
        <v>6</v>
      </c>
      <c r="I7" s="1">
        <f t="shared" ca="1" si="1"/>
        <v>2.3333333333333335</v>
      </c>
      <c r="J7" s="1">
        <f t="shared" ca="1" si="2"/>
        <v>0.88191710368819698</v>
      </c>
      <c r="K7" s="1">
        <f t="shared" ca="1" si="3"/>
        <v>37.796447300922729</v>
      </c>
    </row>
    <row r="8" spans="1:11" x14ac:dyDescent="0.35">
      <c r="A8" t="s">
        <v>6</v>
      </c>
      <c r="B8">
        <v>15</v>
      </c>
      <c r="C8" t="s">
        <v>7</v>
      </c>
      <c r="D8">
        <v>2</v>
      </c>
      <c r="E8">
        <v>6</v>
      </c>
      <c r="F8">
        <v>10</v>
      </c>
      <c r="G8">
        <f t="shared" si="0"/>
        <v>0</v>
      </c>
      <c r="H8">
        <f ca="1">AVERAGE(OFFSET($D$2, (ROW()-ROW($F$2))*3, 0, 3, 1))</f>
        <v>8</v>
      </c>
      <c r="I8" s="1">
        <f t="shared" ca="1" si="1"/>
        <v>4</v>
      </c>
      <c r="J8" s="1">
        <f t="shared" ca="1" si="2"/>
        <v>0.57735026918962584</v>
      </c>
      <c r="K8" s="1">
        <f t="shared" ca="1" si="3"/>
        <v>14.433756729740645</v>
      </c>
    </row>
    <row r="9" spans="1:11" x14ac:dyDescent="0.35">
      <c r="A9" t="s">
        <v>6</v>
      </c>
      <c r="B9">
        <v>16</v>
      </c>
      <c r="C9" t="s">
        <v>7</v>
      </c>
      <c r="D9">
        <v>2</v>
      </c>
      <c r="E9">
        <v>6</v>
      </c>
      <c r="F9">
        <v>10</v>
      </c>
      <c r="G9">
        <f t="shared" si="0"/>
        <v>1</v>
      </c>
      <c r="H9">
        <f ca="1">AVERAGE(OFFSET($D$2, (ROW()-ROW($F$2))*3, 0, 3, 1))</f>
        <v>10</v>
      </c>
      <c r="I9" s="1">
        <f t="shared" ca="1" si="1"/>
        <v>4.666666666666667</v>
      </c>
      <c r="J9" s="1">
        <f t="shared" ca="1" si="2"/>
        <v>2.4037008503093267</v>
      </c>
      <c r="K9" s="1">
        <f t="shared" ca="1" si="3"/>
        <v>51.507875363771284</v>
      </c>
    </row>
    <row r="10" spans="1:11" x14ac:dyDescent="0.35">
      <c r="A10" t="s">
        <v>6</v>
      </c>
      <c r="B10">
        <v>21</v>
      </c>
      <c r="C10" t="s">
        <v>7</v>
      </c>
      <c r="D10">
        <v>2</v>
      </c>
      <c r="E10">
        <v>6</v>
      </c>
      <c r="F10">
        <v>10</v>
      </c>
      <c r="G10">
        <f t="shared" si="0"/>
        <v>6</v>
      </c>
    </row>
    <row r="11" spans="1:11" x14ac:dyDescent="0.35">
      <c r="A11" t="s">
        <v>6</v>
      </c>
      <c r="B11">
        <v>11</v>
      </c>
      <c r="C11" t="s">
        <v>7</v>
      </c>
      <c r="D11">
        <v>3</v>
      </c>
      <c r="E11">
        <v>6</v>
      </c>
      <c r="F11">
        <v>10</v>
      </c>
      <c r="G11">
        <f t="shared" si="0"/>
        <v>-4</v>
      </c>
    </row>
    <row r="12" spans="1:11" x14ac:dyDescent="0.35">
      <c r="A12" t="s">
        <v>6</v>
      </c>
      <c r="B12">
        <v>15</v>
      </c>
      <c r="C12" t="s">
        <v>7</v>
      </c>
      <c r="D12">
        <v>3</v>
      </c>
      <c r="E12">
        <v>6</v>
      </c>
      <c r="F12">
        <v>10</v>
      </c>
      <c r="G12">
        <f t="shared" si="0"/>
        <v>0</v>
      </c>
    </row>
    <row r="13" spans="1:11" x14ac:dyDescent="0.35">
      <c r="A13" t="s">
        <v>6</v>
      </c>
      <c r="B13">
        <v>16</v>
      </c>
      <c r="C13" t="s">
        <v>7</v>
      </c>
      <c r="D13">
        <v>3</v>
      </c>
      <c r="E13">
        <v>6</v>
      </c>
      <c r="F13">
        <v>10</v>
      </c>
      <c r="G13">
        <f t="shared" si="0"/>
        <v>1</v>
      </c>
    </row>
    <row r="14" spans="1:11" x14ac:dyDescent="0.35">
      <c r="A14" t="s">
        <v>6</v>
      </c>
      <c r="B14">
        <v>15</v>
      </c>
      <c r="C14" t="s">
        <v>7</v>
      </c>
      <c r="D14">
        <v>4</v>
      </c>
      <c r="E14">
        <v>6</v>
      </c>
      <c r="F14">
        <v>10</v>
      </c>
      <c r="G14">
        <f t="shared" si="0"/>
        <v>0</v>
      </c>
    </row>
    <row r="15" spans="1:11" x14ac:dyDescent="0.35">
      <c r="A15" t="s">
        <v>6</v>
      </c>
      <c r="B15">
        <v>21</v>
      </c>
      <c r="C15" t="s">
        <v>7</v>
      </c>
      <c r="D15">
        <v>4</v>
      </c>
      <c r="E15">
        <v>6</v>
      </c>
      <c r="F15">
        <v>10</v>
      </c>
      <c r="G15">
        <f t="shared" si="0"/>
        <v>6</v>
      </c>
    </row>
    <row r="16" spans="1:11" x14ac:dyDescent="0.35">
      <c r="A16" t="s">
        <v>6</v>
      </c>
      <c r="B16">
        <v>18</v>
      </c>
      <c r="C16" t="s">
        <v>7</v>
      </c>
      <c r="D16">
        <v>4</v>
      </c>
      <c r="E16">
        <v>6</v>
      </c>
      <c r="F16">
        <v>10</v>
      </c>
      <c r="G16">
        <f t="shared" si="0"/>
        <v>3</v>
      </c>
    </row>
    <row r="17" spans="1:7" x14ac:dyDescent="0.35">
      <c r="A17" t="s">
        <v>6</v>
      </c>
      <c r="B17">
        <v>16</v>
      </c>
      <c r="C17" t="s">
        <v>7</v>
      </c>
      <c r="D17">
        <v>6</v>
      </c>
      <c r="E17">
        <v>6</v>
      </c>
      <c r="F17">
        <v>10</v>
      </c>
      <c r="G17">
        <f t="shared" si="0"/>
        <v>1</v>
      </c>
    </row>
    <row r="18" spans="1:7" x14ac:dyDescent="0.35">
      <c r="A18" t="s">
        <v>6</v>
      </c>
      <c r="B18">
        <v>17</v>
      </c>
      <c r="C18" t="s">
        <v>7</v>
      </c>
      <c r="D18">
        <v>6</v>
      </c>
      <c r="E18">
        <v>6</v>
      </c>
      <c r="F18">
        <v>10</v>
      </c>
      <c r="G18">
        <f t="shared" si="0"/>
        <v>2</v>
      </c>
    </row>
    <row r="19" spans="1:7" x14ac:dyDescent="0.35">
      <c r="A19" t="s">
        <v>6</v>
      </c>
      <c r="B19">
        <v>19</v>
      </c>
      <c r="C19" t="s">
        <v>7</v>
      </c>
      <c r="D19">
        <v>6</v>
      </c>
      <c r="E19">
        <v>6</v>
      </c>
      <c r="F19">
        <v>10</v>
      </c>
      <c r="G19">
        <f t="shared" si="0"/>
        <v>4</v>
      </c>
    </row>
    <row r="20" spans="1:7" x14ac:dyDescent="0.35">
      <c r="A20" t="s">
        <v>6</v>
      </c>
      <c r="B20">
        <v>20</v>
      </c>
      <c r="C20" t="s">
        <v>7</v>
      </c>
      <c r="D20">
        <v>8</v>
      </c>
      <c r="E20">
        <v>6</v>
      </c>
      <c r="F20">
        <v>10</v>
      </c>
      <c r="G20">
        <f t="shared" si="0"/>
        <v>5</v>
      </c>
    </row>
    <row r="21" spans="1:7" x14ac:dyDescent="0.35">
      <c r="A21" t="s">
        <v>6</v>
      </c>
      <c r="B21">
        <v>18</v>
      </c>
      <c r="C21" t="s">
        <v>7</v>
      </c>
      <c r="D21">
        <v>8</v>
      </c>
      <c r="E21">
        <v>6</v>
      </c>
      <c r="F21">
        <v>10</v>
      </c>
      <c r="G21">
        <f t="shared" si="0"/>
        <v>3</v>
      </c>
    </row>
    <row r="22" spans="1:7" x14ac:dyDescent="0.35">
      <c r="A22" t="s">
        <v>6</v>
      </c>
      <c r="B22">
        <v>19</v>
      </c>
      <c r="C22" t="s">
        <v>7</v>
      </c>
      <c r="D22">
        <v>8</v>
      </c>
      <c r="E22">
        <v>6</v>
      </c>
      <c r="F22">
        <v>10</v>
      </c>
      <c r="G22">
        <f t="shared" si="0"/>
        <v>4</v>
      </c>
    </row>
    <row r="23" spans="1:7" x14ac:dyDescent="0.35">
      <c r="A23" t="s">
        <v>6</v>
      </c>
      <c r="B23">
        <v>23</v>
      </c>
      <c r="C23" t="s">
        <v>7</v>
      </c>
      <c r="D23">
        <v>10</v>
      </c>
      <c r="E23">
        <v>6</v>
      </c>
      <c r="F23">
        <v>10</v>
      </c>
      <c r="G23">
        <f t="shared" si="0"/>
        <v>8</v>
      </c>
    </row>
    <row r="24" spans="1:7" x14ac:dyDescent="0.35">
      <c r="A24" t="s">
        <v>6</v>
      </c>
      <c r="B24">
        <v>15</v>
      </c>
      <c r="C24" t="s">
        <v>7</v>
      </c>
      <c r="D24">
        <v>10</v>
      </c>
      <c r="E24">
        <v>6</v>
      </c>
      <c r="F24">
        <v>10</v>
      </c>
      <c r="G24">
        <f t="shared" si="0"/>
        <v>0</v>
      </c>
    </row>
    <row r="25" spans="1:7" x14ac:dyDescent="0.35">
      <c r="A25" t="s">
        <v>6</v>
      </c>
      <c r="B25">
        <v>21</v>
      </c>
      <c r="C25" t="s">
        <v>7</v>
      </c>
      <c r="D25">
        <v>10</v>
      </c>
      <c r="E25">
        <v>6</v>
      </c>
      <c r="F25">
        <v>10</v>
      </c>
      <c r="G25">
        <f t="shared" si="0"/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alpha_copper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2024-09-07T22:46:24Z</dcterms:created>
  <dcterms:modified xsi:type="dcterms:W3CDTF">2024-09-09T22:13:09Z</dcterms:modified>
</cp:coreProperties>
</file>