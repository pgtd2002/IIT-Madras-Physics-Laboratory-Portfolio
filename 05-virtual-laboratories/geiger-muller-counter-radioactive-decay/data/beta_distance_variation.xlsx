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9BA4DAAC-69ED-4E5F-BAB3-8E75FD78397E}" xr6:coauthVersionLast="47" xr6:coauthVersionMax="47" xr10:uidLastSave="{00000000-0000-0000-0000-000000000000}"/>
  <bookViews>
    <workbookView xWindow="-110" yWindow="-110" windowWidth="19420" windowHeight="10300" xr2:uid="{EBE36A51-FDB2-4C48-8201-2B945F7D03C7}"/>
  </bookViews>
  <sheets>
    <sheet name="beta_distance_variation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H20" i="1" l="1"/>
  <c r="H14" i="1"/>
  <c r="H8" i="1"/>
  <c r="H26" i="1"/>
  <c r="H23" i="1"/>
  <c r="H11" i="1"/>
  <c r="H5" i="1"/>
  <c r="H25" i="1"/>
  <c r="H19" i="1"/>
  <c r="H13" i="1"/>
  <c r="H7" i="1"/>
  <c r="H6" i="1"/>
  <c r="H24" i="1"/>
  <c r="H18" i="1"/>
  <c r="H22" i="1"/>
  <c r="H16" i="1"/>
  <c r="H10" i="1"/>
  <c r="H4" i="1"/>
  <c r="H12" i="1"/>
  <c r="H17" i="1"/>
  <c r="H2" i="1"/>
  <c r="H21" i="1"/>
  <c r="H15" i="1"/>
  <c r="H9" i="1"/>
  <c r="H3" i="1"/>
</calcChain>
</file>

<file path=xl/sharedStrings.xml><?xml version="1.0" encoding="utf-8"?>
<sst xmlns="http://purl.oclc.org/ooxml/spreadsheetml/main" count="83" uniqueCount="9">
  <si>
    <t>Source</t>
  </si>
  <si>
    <t>Distance (cm)</t>
  </si>
  <si>
    <t>Count Duration (sec)</t>
  </si>
  <si>
    <t>Count</t>
  </si>
  <si>
    <t>Sr-90</t>
  </si>
  <si>
    <t>Avg Count</t>
  </si>
  <si>
    <t>Distance</t>
  </si>
  <si>
    <t>Error</t>
  </si>
  <si>
    <t>percentage Error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</si>
</sst>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beta_distance_variation!$F$1</c:f>
              <c:strCache>
                <c:ptCount val="1"/>
                <c:pt idx="0">
                  <c:v>Avg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beta_distance_variation!$E$2:$E$76</c:f>
              <c:numCache>
                <c:formatCode>General</c:formatCode>
                <c:ptCount val="7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beta_distance_variation!$F$2:$F$76</c:f>
              <c:numCache>
                <c:formatCode>0.00</c:formatCode>
                <c:ptCount val="75"/>
                <c:pt idx="0">
                  <c:v>73652.666666666672</c:v>
                </c:pt>
                <c:pt idx="1">
                  <c:v>67070</c:v>
                </c:pt>
                <c:pt idx="2">
                  <c:v>60899.666666666664</c:v>
                </c:pt>
                <c:pt idx="3">
                  <c:v>55244</c:v>
                </c:pt>
                <c:pt idx="4">
                  <c:v>49635.666666666664</c:v>
                </c:pt>
                <c:pt idx="5">
                  <c:v>45134.666666666664</c:v>
                </c:pt>
                <c:pt idx="6">
                  <c:v>41139</c:v>
                </c:pt>
                <c:pt idx="7">
                  <c:v>37250.333333333336</c:v>
                </c:pt>
                <c:pt idx="8">
                  <c:v>33803.666666666664</c:v>
                </c:pt>
                <c:pt idx="9">
                  <c:v>30966</c:v>
                </c:pt>
                <c:pt idx="10">
                  <c:v>28100</c:v>
                </c:pt>
                <c:pt idx="11">
                  <c:v>25682.666666666668</c:v>
                </c:pt>
                <c:pt idx="12">
                  <c:v>23553.666666666668</c:v>
                </c:pt>
                <c:pt idx="13">
                  <c:v>21736</c:v>
                </c:pt>
                <c:pt idx="14">
                  <c:v>19995</c:v>
                </c:pt>
                <c:pt idx="15">
                  <c:v>18447.333333333332</c:v>
                </c:pt>
                <c:pt idx="16">
                  <c:v>17118</c:v>
                </c:pt>
                <c:pt idx="17">
                  <c:v>15748.333333333334</c:v>
                </c:pt>
                <c:pt idx="18">
                  <c:v>14800.666666666666</c:v>
                </c:pt>
                <c:pt idx="19">
                  <c:v>13773.666666666666</c:v>
                </c:pt>
                <c:pt idx="20">
                  <c:v>12954.333333333334</c:v>
                </c:pt>
                <c:pt idx="21">
                  <c:v>12050.333333333334</c:v>
                </c:pt>
                <c:pt idx="22">
                  <c:v>11377.666666666666</c:v>
                </c:pt>
                <c:pt idx="23">
                  <c:v>10646.333333333334</c:v>
                </c:pt>
                <c:pt idx="24">
                  <c:v>10045.333333333334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B-4D93-8E4A-E7E80712F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960271"/>
        <c:axId val="1289947791"/>
      </c:scatterChart>
      <c:valAx>
        <c:axId val="128996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47791"/>
        <c:crosses val="autoZero"/>
        <c:crossBetween val="midCat"/>
      </c:valAx>
      <c:valAx>
        <c:axId val="128994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6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beta_distance_variation!$H$1</c:f>
              <c:strCache>
                <c:ptCount val="1"/>
                <c:pt idx="0">
                  <c:v>percentage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beta_distance_variation!$E$2:$E$76</c:f>
              <c:numCache>
                <c:formatCode>General</c:formatCode>
                <c:ptCount val="7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beta_distance_variation!$H$2:$H$76</c:f>
              <c:numCache>
                <c:formatCode>0.00</c:formatCode>
                <c:ptCount val="75"/>
                <c:pt idx="0">
                  <c:v>0.31919448840492159</c:v>
                </c:pt>
                <c:pt idx="1">
                  <c:v>0.21556044837462554</c:v>
                </c:pt>
                <c:pt idx="2">
                  <c:v>0.18484579295156062</c:v>
                </c:pt>
                <c:pt idx="3">
                  <c:v>0.13910319071663699</c:v>
                </c:pt>
                <c:pt idx="4">
                  <c:v>0.15019993781381774</c:v>
                </c:pt>
                <c:pt idx="5">
                  <c:v>0.3476181330607363</c:v>
                </c:pt>
                <c:pt idx="6">
                  <c:v>0.34727323924583026</c:v>
                </c:pt>
                <c:pt idx="7">
                  <c:v>0.17618936041613784</c:v>
                </c:pt>
                <c:pt idx="8">
                  <c:v>0.29320278162406288</c:v>
                </c:pt>
                <c:pt idx="9">
                  <c:v>0.17511089761703014</c:v>
                </c:pt>
                <c:pt idx="10">
                  <c:v>0.33239907405098273</c:v>
                </c:pt>
                <c:pt idx="11">
                  <c:v>0.21217660061613297</c:v>
                </c:pt>
                <c:pt idx="12">
                  <c:v>0.20298244456486036</c:v>
                </c:pt>
                <c:pt idx="13">
                  <c:v>0.35861566562210301</c:v>
                </c:pt>
                <c:pt idx="14">
                  <c:v>0.65937523005255205</c:v>
                </c:pt>
                <c:pt idx="15">
                  <c:v>0.35082681795414977</c:v>
                </c:pt>
                <c:pt idx="16">
                  <c:v>0.24729536731530233</c:v>
                </c:pt>
                <c:pt idx="17">
                  <c:v>0.52280664620594774</c:v>
                </c:pt>
                <c:pt idx="18">
                  <c:v>0.20278113708976386</c:v>
                </c:pt>
                <c:pt idx="19">
                  <c:v>0.34657834163564755</c:v>
                </c:pt>
                <c:pt idx="20">
                  <c:v>0.14539957486129906</c:v>
                </c:pt>
                <c:pt idx="21">
                  <c:v>0.53603879345143757</c:v>
                </c:pt>
                <c:pt idx="22">
                  <c:v>0.10165734962000103</c:v>
                </c:pt>
                <c:pt idx="23">
                  <c:v>0.31715643638554708</c:v>
                </c:pt>
                <c:pt idx="24">
                  <c:v>1.0267575583679616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94-4587-8CF3-1FE2025E7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913008"/>
        <c:axId val="1860915408"/>
      </c:scatterChart>
      <c:valAx>
        <c:axId val="186091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15408"/>
        <c:crosses val="autoZero"/>
        <c:crossBetween val="midCat"/>
      </c:valAx>
      <c:valAx>
        <c:axId val="186091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%"/>
                  <a:t>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1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428625</xdr:colOff>
      <xdr:row>3</xdr:row>
      <xdr:rowOff>66675</xdr:rowOff>
    </xdr:from>
    <xdr:to>
      <xdr:col>16</xdr:col>
      <xdr:colOff>568325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52317-6DDC-15C6-0E7F-B62A20861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9</xdr:col>
      <xdr:colOff>15875</xdr:colOff>
      <xdr:row>18</xdr:row>
      <xdr:rowOff>50800</xdr:rowOff>
    </xdr:from>
    <xdr:to>
      <xdr:col>16</xdr:col>
      <xdr:colOff>320675</xdr:colOff>
      <xdr:row>33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93195B-B8C5-773C-E68E-966365C47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1287-2449-44A9-99F9-73A4D1EB0C77}">
  <dimension ref="A1:H76"/>
  <sheetViews>
    <sheetView tabSelected="1" topLeftCell="A15" workbookViewId="0">
      <selection activeCell="H31" sqref="H31"/>
    </sheetView>
  </sheetViews>
  <sheetFormatPr defaultRowHeight="14.5" x14ac:dyDescent="0.35"/>
  <cols>
    <col min="6" max="7" width="8.7265625" style="1"/>
    <col min="8" max="8" width="15.08984375" style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s="1" t="s">
        <v>5</v>
      </c>
      <c r="G1" s="1" t="s">
        <v>7</v>
      </c>
      <c r="H1" s="1" t="s">
        <v>8</v>
      </c>
    </row>
    <row r="2" spans="1:8" x14ac:dyDescent="0.35">
      <c r="A2" t="s">
        <v>4</v>
      </c>
      <c r="B2">
        <v>6</v>
      </c>
      <c r="C2">
        <v>10</v>
      </c>
      <c r="D2">
        <v>73336</v>
      </c>
      <c r="E2">
        <f ca="1">AVERAGE(OFFSET($B$2, (ROW()-ROW($C$2))*3, 0, 3, 1))</f>
        <v>6</v>
      </c>
      <c r="F2" s="1">
        <f ca="1">AVERAGE(OFFSET($D$2, (ROW()-ROW($C$2))*3, 0, 3, 1))</f>
        <v>73652.666666666672</v>
      </c>
      <c r="G2" s="1">
        <f ca="1">_xlfn.STDEV.S(OFFSET($D$2, (ROW()-ROW($C$2))*3, 0, 3, 1))/SQRT(3)</f>
        <v>235.09525256324889</v>
      </c>
      <c r="H2" s="1">
        <f ca="1">G2*100/F2</f>
        <v>0.31919448840492159</v>
      </c>
    </row>
    <row r="3" spans="1:8" x14ac:dyDescent="0.35">
      <c r="A3" t="s">
        <v>4</v>
      </c>
      <c r="B3">
        <v>6</v>
      </c>
      <c r="C3">
        <v>10</v>
      </c>
      <c r="D3">
        <v>73510</v>
      </c>
      <c r="E3">
        <f t="shared" ref="E3:E26" ca="1" si="0">AVERAGE(OFFSET($B$2, (ROW()-ROW($C$2))*3, 0, 3, 1))</f>
        <v>7</v>
      </c>
      <c r="F3" s="1">
        <f t="shared" ref="F3:F26" ca="1" si="1">AVERAGE(OFFSET($D$2, (ROW()-ROW($C$2))*3, 0, 3, 1))</f>
        <v>67070</v>
      </c>
      <c r="G3" s="1">
        <f t="shared" ref="G3:G26" ca="1" si="2">_xlfn.STDEV.S(OFFSET($D$2, (ROW()-ROW($C$2))*3, 0, 3, 1))/SQRT(3)</f>
        <v>144.57639272486134</v>
      </c>
      <c r="H3" s="1">
        <f t="shared" ref="H3:H26" ca="1" si="3">G3*100/F3</f>
        <v>0.21556044837462554</v>
      </c>
    </row>
    <row r="4" spans="1:8" x14ac:dyDescent="0.35">
      <c r="A4" t="s">
        <v>4</v>
      </c>
      <c r="B4">
        <v>6</v>
      </c>
      <c r="C4">
        <v>10</v>
      </c>
      <c r="D4">
        <v>74112</v>
      </c>
      <c r="E4">
        <f t="shared" ca="1" si="0"/>
        <v>8</v>
      </c>
      <c r="F4" s="1">
        <f t="shared" ca="1" si="1"/>
        <v>60899.666666666664</v>
      </c>
      <c r="G4" s="1">
        <f t="shared" ca="1" si="2"/>
        <v>112.57047175485724</v>
      </c>
      <c r="H4" s="1">
        <f t="shared" ca="1" si="3"/>
        <v>0.18484579295156062</v>
      </c>
    </row>
    <row r="5" spans="1:8" x14ac:dyDescent="0.35">
      <c r="A5" t="s">
        <v>4</v>
      </c>
      <c r="B5">
        <v>7</v>
      </c>
      <c r="C5">
        <v>10</v>
      </c>
      <c r="D5">
        <v>67287</v>
      </c>
      <c r="E5">
        <f t="shared" ca="1" si="0"/>
        <v>9</v>
      </c>
      <c r="F5" s="1">
        <f t="shared" ca="1" si="1"/>
        <v>55244</v>
      </c>
      <c r="G5" s="1">
        <f t="shared" ca="1" si="2"/>
        <v>76.846166679498936</v>
      </c>
      <c r="H5" s="1">
        <f t="shared" ca="1" si="3"/>
        <v>0.13910319071663699</v>
      </c>
    </row>
    <row r="6" spans="1:8" x14ac:dyDescent="0.35">
      <c r="A6" t="s">
        <v>4</v>
      </c>
      <c r="B6">
        <v>7</v>
      </c>
      <c r="C6">
        <v>10</v>
      </c>
      <c r="D6">
        <v>66796</v>
      </c>
      <c r="E6">
        <f t="shared" ca="1" si="0"/>
        <v>10</v>
      </c>
      <c r="F6" s="1">
        <f t="shared" ca="1" si="1"/>
        <v>49635.666666666664</v>
      </c>
      <c r="G6" s="1">
        <f t="shared" ca="1" si="2"/>
        <v>74.552740466807194</v>
      </c>
      <c r="H6" s="1">
        <f t="shared" ca="1" si="3"/>
        <v>0.15019993781381774</v>
      </c>
    </row>
    <row r="7" spans="1:8" x14ac:dyDescent="0.35">
      <c r="A7" t="s">
        <v>4</v>
      </c>
      <c r="B7">
        <v>7</v>
      </c>
      <c r="C7">
        <v>10</v>
      </c>
      <c r="D7">
        <v>67127</v>
      </c>
      <c r="E7">
        <f t="shared" ca="1" si="0"/>
        <v>11</v>
      </c>
      <c r="F7" s="1">
        <f t="shared" ca="1" si="1"/>
        <v>45134.666666666664</v>
      </c>
      <c r="G7" s="1">
        <f t="shared" ca="1" si="2"/>
        <v>156.89628562985311</v>
      </c>
      <c r="H7" s="1">
        <f t="shared" ca="1" si="3"/>
        <v>0.3476181330607363</v>
      </c>
    </row>
    <row r="8" spans="1:8" x14ac:dyDescent="0.35">
      <c r="A8" t="s">
        <v>4</v>
      </c>
      <c r="B8">
        <v>8</v>
      </c>
      <c r="C8">
        <v>10</v>
      </c>
      <c r="D8">
        <v>61070</v>
      </c>
      <c r="E8">
        <f t="shared" ca="1" si="0"/>
        <v>12</v>
      </c>
      <c r="F8" s="1">
        <f t="shared" ca="1" si="1"/>
        <v>41139</v>
      </c>
      <c r="G8" s="1">
        <f t="shared" ca="1" si="2"/>
        <v>142.8647378933421</v>
      </c>
      <c r="H8" s="1">
        <f t="shared" ca="1" si="3"/>
        <v>0.34727323924583026</v>
      </c>
    </row>
    <row r="9" spans="1:8" x14ac:dyDescent="0.35">
      <c r="A9" t="s">
        <v>4</v>
      </c>
      <c r="B9">
        <v>8</v>
      </c>
      <c r="C9">
        <v>10</v>
      </c>
      <c r="D9">
        <v>60942</v>
      </c>
      <c r="E9">
        <f t="shared" ca="1" si="0"/>
        <v>13</v>
      </c>
      <c r="F9" s="1">
        <f t="shared" ca="1" si="1"/>
        <v>37250.333333333336</v>
      </c>
      <c r="G9" s="1">
        <f t="shared" ca="1" si="2"/>
        <v>65.6311240528794</v>
      </c>
      <c r="H9" s="1">
        <f t="shared" ca="1" si="3"/>
        <v>0.17618936041613784</v>
      </c>
    </row>
    <row r="10" spans="1:8" x14ac:dyDescent="0.35">
      <c r="A10" t="s">
        <v>4</v>
      </c>
      <c r="B10">
        <v>8</v>
      </c>
      <c r="C10">
        <v>10</v>
      </c>
      <c r="D10">
        <v>60687</v>
      </c>
      <c r="E10">
        <f t="shared" ca="1" si="0"/>
        <v>14</v>
      </c>
      <c r="F10" s="1">
        <f t="shared" ca="1" si="1"/>
        <v>33803.666666666664</v>
      </c>
      <c r="G10" s="1">
        <f t="shared" ca="1" si="2"/>
        <v>99.113290957592795</v>
      </c>
      <c r="H10" s="1">
        <f t="shared" ca="1" si="3"/>
        <v>0.29320278162406288</v>
      </c>
    </row>
    <row r="11" spans="1:8" x14ac:dyDescent="0.35">
      <c r="A11" t="s">
        <v>4</v>
      </c>
      <c r="B11">
        <v>9</v>
      </c>
      <c r="C11">
        <v>10</v>
      </c>
      <c r="D11">
        <v>55394</v>
      </c>
      <c r="E11">
        <f t="shared" ca="1" si="0"/>
        <v>15</v>
      </c>
      <c r="F11" s="1">
        <f t="shared" ca="1" si="1"/>
        <v>30966</v>
      </c>
      <c r="G11" s="1">
        <f t="shared" ca="1" si="2"/>
        <v>54.224840556089546</v>
      </c>
      <c r="H11" s="1">
        <f t="shared" ca="1" si="3"/>
        <v>0.17511089761703014</v>
      </c>
    </row>
    <row r="12" spans="1:8" x14ac:dyDescent="0.35">
      <c r="A12" t="s">
        <v>4</v>
      </c>
      <c r="B12">
        <v>9</v>
      </c>
      <c r="C12">
        <v>10</v>
      </c>
      <c r="D12">
        <v>55140</v>
      </c>
      <c r="E12">
        <f t="shared" ca="1" si="0"/>
        <v>16</v>
      </c>
      <c r="F12" s="1">
        <f t="shared" ca="1" si="1"/>
        <v>28100</v>
      </c>
      <c r="G12" s="1">
        <f t="shared" ca="1" si="2"/>
        <v>93.404139808326136</v>
      </c>
      <c r="H12" s="1">
        <f t="shared" ca="1" si="3"/>
        <v>0.33239907405098273</v>
      </c>
    </row>
    <row r="13" spans="1:8" x14ac:dyDescent="0.35">
      <c r="A13" t="s">
        <v>4</v>
      </c>
      <c r="B13">
        <v>9</v>
      </c>
      <c r="C13">
        <v>10</v>
      </c>
      <c r="D13">
        <v>55198</v>
      </c>
      <c r="E13">
        <f t="shared" ca="1" si="0"/>
        <v>17</v>
      </c>
      <c r="F13" s="1">
        <f t="shared" ca="1" si="1"/>
        <v>25682.666666666668</v>
      </c>
      <c r="G13" s="1">
        <f t="shared" ca="1" si="2"/>
        <v>54.49260908090605</v>
      </c>
      <c r="H13" s="1">
        <f t="shared" ca="1" si="3"/>
        <v>0.21217660061613297</v>
      </c>
    </row>
    <row r="14" spans="1:8" x14ac:dyDescent="0.35">
      <c r="A14" t="s">
        <v>4</v>
      </c>
      <c r="B14">
        <v>10</v>
      </c>
      <c r="C14">
        <v>10</v>
      </c>
      <c r="D14">
        <v>49768</v>
      </c>
      <c r="E14">
        <f t="shared" ca="1" si="0"/>
        <v>18</v>
      </c>
      <c r="F14" s="1">
        <f t="shared" ca="1" si="1"/>
        <v>23553.666666666668</v>
      </c>
      <c r="G14" s="1">
        <f t="shared" ca="1" si="2"/>
        <v>47.809808384658659</v>
      </c>
      <c r="H14" s="1">
        <f t="shared" ca="1" si="3"/>
        <v>0.20298244456486036</v>
      </c>
    </row>
    <row r="15" spans="1:8" x14ac:dyDescent="0.35">
      <c r="A15" t="s">
        <v>4</v>
      </c>
      <c r="B15">
        <v>10</v>
      </c>
      <c r="C15">
        <v>10</v>
      </c>
      <c r="D15">
        <v>49510</v>
      </c>
      <c r="E15">
        <f t="shared" ca="1" si="0"/>
        <v>19</v>
      </c>
      <c r="F15" s="1">
        <f t="shared" ca="1" si="1"/>
        <v>21736</v>
      </c>
      <c r="G15" s="1">
        <f t="shared" ca="1" si="2"/>
        <v>77.948701079620307</v>
      </c>
      <c r="H15" s="1">
        <f t="shared" ca="1" si="3"/>
        <v>0.35861566562210301</v>
      </c>
    </row>
    <row r="16" spans="1:8" x14ac:dyDescent="0.35">
      <c r="A16" t="s">
        <v>4</v>
      </c>
      <c r="B16">
        <v>10</v>
      </c>
      <c r="C16">
        <v>10</v>
      </c>
      <c r="D16">
        <v>49629</v>
      </c>
      <c r="E16">
        <f t="shared" ca="1" si="0"/>
        <v>20</v>
      </c>
      <c r="F16" s="1">
        <f t="shared" ca="1" si="1"/>
        <v>19995</v>
      </c>
      <c r="G16" s="1">
        <f t="shared" ca="1" si="2"/>
        <v>131.84207724900779</v>
      </c>
      <c r="H16" s="1">
        <f t="shared" ca="1" si="3"/>
        <v>0.65937523005255205</v>
      </c>
    </row>
    <row r="17" spans="1:8" x14ac:dyDescent="0.35">
      <c r="A17" t="s">
        <v>4</v>
      </c>
      <c r="B17">
        <v>11</v>
      </c>
      <c r="C17">
        <v>10</v>
      </c>
      <c r="D17">
        <v>45158</v>
      </c>
      <c r="E17">
        <f t="shared" ca="1" si="0"/>
        <v>21</v>
      </c>
      <c r="F17" s="1">
        <f t="shared" ca="1" si="1"/>
        <v>18447.333333333332</v>
      </c>
      <c r="G17" s="1">
        <f t="shared" ca="1" si="2"/>
        <v>64.718192530728516</v>
      </c>
      <c r="H17" s="1">
        <f t="shared" ca="1" si="3"/>
        <v>0.35082681795414977</v>
      </c>
    </row>
    <row r="18" spans="1:8" x14ac:dyDescent="0.35">
      <c r="A18" t="s">
        <v>4</v>
      </c>
      <c r="B18">
        <v>11</v>
      </c>
      <c r="C18">
        <v>10</v>
      </c>
      <c r="D18">
        <v>44852</v>
      </c>
      <c r="E18">
        <f t="shared" ca="1" si="0"/>
        <v>22</v>
      </c>
      <c r="F18" s="1">
        <f t="shared" ca="1" si="1"/>
        <v>17118</v>
      </c>
      <c r="G18" s="1">
        <f t="shared" ca="1" si="2"/>
        <v>42.332020977033451</v>
      </c>
      <c r="H18" s="1">
        <f t="shared" ca="1" si="3"/>
        <v>0.24729536731530233</v>
      </c>
    </row>
    <row r="19" spans="1:8" x14ac:dyDescent="0.35">
      <c r="A19" t="s">
        <v>4</v>
      </c>
      <c r="B19">
        <v>11</v>
      </c>
      <c r="C19">
        <v>10</v>
      </c>
      <c r="D19">
        <v>45394</v>
      </c>
      <c r="E19">
        <f t="shared" ca="1" si="0"/>
        <v>23</v>
      </c>
      <c r="F19" s="1">
        <f t="shared" ca="1" si="1"/>
        <v>15748.333333333334</v>
      </c>
      <c r="G19" s="1">
        <f t="shared" ca="1" si="2"/>
        <v>82.333333333333343</v>
      </c>
      <c r="H19" s="1">
        <f t="shared" ca="1" si="3"/>
        <v>0.52280664620594774</v>
      </c>
    </row>
    <row r="20" spans="1:8" x14ac:dyDescent="0.35">
      <c r="A20" t="s">
        <v>4</v>
      </c>
      <c r="B20">
        <v>12</v>
      </c>
      <c r="C20">
        <v>10</v>
      </c>
      <c r="D20">
        <v>40880</v>
      </c>
      <c r="E20">
        <f t="shared" ca="1" si="0"/>
        <v>24</v>
      </c>
      <c r="F20" s="1">
        <f t="shared" ca="1" si="1"/>
        <v>14800.666666666666</v>
      </c>
      <c r="G20" s="1">
        <f t="shared" ca="1" si="2"/>
        <v>30.012960163532316</v>
      </c>
      <c r="H20" s="1">
        <f t="shared" ca="1" si="3"/>
        <v>0.20278113708976386</v>
      </c>
    </row>
    <row r="21" spans="1:8" x14ac:dyDescent="0.35">
      <c r="A21" t="s">
        <v>4</v>
      </c>
      <c r="B21">
        <v>12</v>
      </c>
      <c r="C21">
        <v>10</v>
      </c>
      <c r="D21">
        <v>41164</v>
      </c>
      <c r="E21">
        <f t="shared" ca="1" si="0"/>
        <v>25</v>
      </c>
      <c r="F21" s="1">
        <f t="shared" ca="1" si="1"/>
        <v>13773.666666666666</v>
      </c>
      <c r="G21" s="1">
        <f t="shared" ca="1" si="2"/>
        <v>47.73654551575531</v>
      </c>
      <c r="H21" s="1">
        <f t="shared" ca="1" si="3"/>
        <v>0.34657834163564755</v>
      </c>
    </row>
    <row r="22" spans="1:8" x14ac:dyDescent="0.35">
      <c r="A22" t="s">
        <v>4</v>
      </c>
      <c r="B22">
        <v>12</v>
      </c>
      <c r="C22">
        <v>10</v>
      </c>
      <c r="D22">
        <v>41373</v>
      </c>
      <c r="E22">
        <f t="shared" ca="1" si="0"/>
        <v>26</v>
      </c>
      <c r="F22" s="1">
        <f t="shared" ca="1" si="1"/>
        <v>12954.333333333334</v>
      </c>
      <c r="G22" s="1">
        <f t="shared" ca="1" si="2"/>
        <v>18.835545592782221</v>
      </c>
      <c r="H22" s="1">
        <f t="shared" ca="1" si="3"/>
        <v>0.14539957486129906</v>
      </c>
    </row>
    <row r="23" spans="1:8" x14ac:dyDescent="0.35">
      <c r="A23" t="s">
        <v>4</v>
      </c>
      <c r="B23">
        <v>13</v>
      </c>
      <c r="C23">
        <v>10</v>
      </c>
      <c r="D23">
        <v>37120</v>
      </c>
      <c r="E23">
        <f t="shared" ca="1" si="0"/>
        <v>27</v>
      </c>
      <c r="F23" s="1">
        <f t="shared" ca="1" si="1"/>
        <v>12050.333333333334</v>
      </c>
      <c r="G23" s="1">
        <f t="shared" ca="1" si="2"/>
        <v>64.594461406876405</v>
      </c>
      <c r="H23" s="1">
        <f t="shared" ca="1" si="3"/>
        <v>0.53603879345143757</v>
      </c>
    </row>
    <row r="24" spans="1:8" x14ac:dyDescent="0.35">
      <c r="A24" t="s">
        <v>4</v>
      </c>
      <c r="B24">
        <v>13</v>
      </c>
      <c r="C24">
        <v>10</v>
      </c>
      <c r="D24">
        <v>37329</v>
      </c>
      <c r="E24">
        <f t="shared" ca="1" si="0"/>
        <v>28</v>
      </c>
      <c r="F24" s="1">
        <f t="shared" ca="1" si="1"/>
        <v>11377.666666666666</v>
      </c>
      <c r="G24" s="1">
        <f t="shared" ca="1" si="2"/>
        <v>11.566234381931649</v>
      </c>
      <c r="H24" s="1">
        <f t="shared" ca="1" si="3"/>
        <v>0.10165734962000103</v>
      </c>
    </row>
    <row r="25" spans="1:8" x14ac:dyDescent="0.35">
      <c r="A25" t="s">
        <v>4</v>
      </c>
      <c r="B25">
        <v>13</v>
      </c>
      <c r="C25">
        <v>10</v>
      </c>
      <c r="D25">
        <v>37302</v>
      </c>
      <c r="E25">
        <f t="shared" ca="1" si="0"/>
        <v>29</v>
      </c>
      <c r="F25" s="1">
        <f t="shared" ca="1" si="1"/>
        <v>10646.333333333334</v>
      </c>
      <c r="G25" s="1">
        <f t="shared" ca="1" si="2"/>
        <v>33.765531405726627</v>
      </c>
      <c r="H25" s="1">
        <f t="shared" ca="1" si="3"/>
        <v>0.31715643638554708</v>
      </c>
    </row>
    <row r="26" spans="1:8" x14ac:dyDescent="0.35">
      <c r="A26" t="s">
        <v>4</v>
      </c>
      <c r="B26">
        <v>14</v>
      </c>
      <c r="C26">
        <v>10</v>
      </c>
      <c r="D26">
        <v>33874</v>
      </c>
      <c r="E26">
        <f t="shared" ca="1" si="0"/>
        <v>30</v>
      </c>
      <c r="F26" s="1">
        <f t="shared" ca="1" si="1"/>
        <v>10045.333333333334</v>
      </c>
      <c r="G26" s="1">
        <f t="shared" ca="1" si="2"/>
        <v>103.1412192632563</v>
      </c>
      <c r="H26" s="1">
        <f t="shared" ca="1" si="3"/>
        <v>1.0267575583679616</v>
      </c>
    </row>
    <row r="27" spans="1:8" x14ac:dyDescent="0.35">
      <c r="A27" t="s">
        <v>4</v>
      </c>
      <c r="B27">
        <v>14</v>
      </c>
      <c r="C27">
        <v>10</v>
      </c>
      <c r="D27">
        <v>33929</v>
      </c>
    </row>
    <row r="28" spans="1:8" x14ac:dyDescent="0.35">
      <c r="A28" t="s">
        <v>4</v>
      </c>
      <c r="B28">
        <v>14</v>
      </c>
      <c r="C28">
        <v>10</v>
      </c>
      <c r="D28">
        <v>33608</v>
      </c>
    </row>
    <row r="29" spans="1:8" x14ac:dyDescent="0.35">
      <c r="A29" t="s">
        <v>4</v>
      </c>
      <c r="B29">
        <v>15</v>
      </c>
      <c r="C29">
        <v>10</v>
      </c>
      <c r="D29">
        <v>30937</v>
      </c>
    </row>
    <row r="30" spans="1:8" x14ac:dyDescent="0.35">
      <c r="A30" t="s">
        <v>4</v>
      </c>
      <c r="B30">
        <v>15</v>
      </c>
      <c r="C30">
        <v>10</v>
      </c>
      <c r="D30">
        <v>30890</v>
      </c>
    </row>
    <row r="31" spans="1:8" x14ac:dyDescent="0.35">
      <c r="A31" t="s">
        <v>4</v>
      </c>
      <c r="B31">
        <v>15</v>
      </c>
      <c r="C31">
        <v>10</v>
      </c>
      <c r="D31">
        <v>31071</v>
      </c>
    </row>
    <row r="32" spans="1:8" x14ac:dyDescent="0.35">
      <c r="A32" t="s">
        <v>4</v>
      </c>
      <c r="B32">
        <v>16</v>
      </c>
      <c r="C32">
        <v>10</v>
      </c>
      <c r="D32">
        <v>27976</v>
      </c>
    </row>
    <row r="33" spans="1:4" x14ac:dyDescent="0.35">
      <c r="A33" t="s">
        <v>4</v>
      </c>
      <c r="B33">
        <v>16</v>
      </c>
      <c r="C33">
        <v>10</v>
      </c>
      <c r="D33">
        <v>28283</v>
      </c>
    </row>
    <row r="34" spans="1:4" x14ac:dyDescent="0.35">
      <c r="A34" t="s">
        <v>4</v>
      </c>
      <c r="B34">
        <v>16</v>
      </c>
      <c r="C34">
        <v>10</v>
      </c>
      <c r="D34">
        <v>28041</v>
      </c>
    </row>
    <row r="35" spans="1:4" x14ac:dyDescent="0.35">
      <c r="A35" t="s">
        <v>4</v>
      </c>
      <c r="B35">
        <v>17</v>
      </c>
      <c r="C35">
        <v>10</v>
      </c>
      <c r="D35">
        <v>25601</v>
      </c>
    </row>
    <row r="36" spans="1:4" x14ac:dyDescent="0.35">
      <c r="A36" t="s">
        <v>4</v>
      </c>
      <c r="B36">
        <v>17</v>
      </c>
      <c r="C36">
        <v>10</v>
      </c>
      <c r="D36">
        <v>25786</v>
      </c>
    </row>
    <row r="37" spans="1:4" x14ac:dyDescent="0.35">
      <c r="A37" t="s">
        <v>4</v>
      </c>
      <c r="B37">
        <v>17</v>
      </c>
      <c r="C37">
        <v>10</v>
      </c>
      <c r="D37">
        <v>25661</v>
      </c>
    </row>
    <row r="38" spans="1:4" x14ac:dyDescent="0.35">
      <c r="A38" t="s">
        <v>4</v>
      </c>
      <c r="B38">
        <v>18</v>
      </c>
      <c r="C38">
        <v>10</v>
      </c>
      <c r="D38">
        <v>23647</v>
      </c>
    </row>
    <row r="39" spans="1:4" x14ac:dyDescent="0.35">
      <c r="A39" t="s">
        <v>4</v>
      </c>
      <c r="B39">
        <v>18</v>
      </c>
      <c r="C39">
        <v>10</v>
      </c>
      <c r="D39">
        <v>23525</v>
      </c>
    </row>
    <row r="40" spans="1:4" x14ac:dyDescent="0.35">
      <c r="A40" t="s">
        <v>4</v>
      </c>
      <c r="B40">
        <v>18</v>
      </c>
      <c r="C40">
        <v>10</v>
      </c>
      <c r="D40">
        <v>23489</v>
      </c>
    </row>
    <row r="41" spans="1:4" x14ac:dyDescent="0.35">
      <c r="A41" t="s">
        <v>4</v>
      </c>
      <c r="B41">
        <v>19</v>
      </c>
      <c r="C41">
        <v>10</v>
      </c>
      <c r="D41">
        <v>21690</v>
      </c>
    </row>
    <row r="42" spans="1:4" x14ac:dyDescent="0.35">
      <c r="A42" t="s">
        <v>4</v>
      </c>
      <c r="B42">
        <v>19</v>
      </c>
      <c r="C42">
        <v>10</v>
      </c>
      <c r="D42">
        <v>21888</v>
      </c>
    </row>
    <row r="43" spans="1:4" x14ac:dyDescent="0.35">
      <c r="A43" t="s">
        <v>4</v>
      </c>
      <c r="B43">
        <v>19</v>
      </c>
      <c r="C43">
        <v>10</v>
      </c>
      <c r="D43">
        <v>21630</v>
      </c>
    </row>
    <row r="44" spans="1:4" x14ac:dyDescent="0.35">
      <c r="A44" t="s">
        <v>4</v>
      </c>
      <c r="B44">
        <v>20</v>
      </c>
      <c r="C44">
        <v>10</v>
      </c>
      <c r="D44">
        <v>19734</v>
      </c>
    </row>
    <row r="45" spans="1:4" x14ac:dyDescent="0.35">
      <c r="A45" t="s">
        <v>4</v>
      </c>
      <c r="B45">
        <v>20</v>
      </c>
      <c r="C45">
        <v>10</v>
      </c>
      <c r="D45">
        <v>20158</v>
      </c>
    </row>
    <row r="46" spans="1:4" x14ac:dyDescent="0.35">
      <c r="A46" t="s">
        <v>4</v>
      </c>
      <c r="B46">
        <v>20</v>
      </c>
      <c r="C46">
        <v>10</v>
      </c>
      <c r="D46">
        <v>20093</v>
      </c>
    </row>
    <row r="47" spans="1:4" x14ac:dyDescent="0.35">
      <c r="A47" t="s">
        <v>4</v>
      </c>
      <c r="B47">
        <v>21</v>
      </c>
      <c r="C47">
        <v>10</v>
      </c>
      <c r="D47">
        <v>18338</v>
      </c>
    </row>
    <row r="48" spans="1:4" x14ac:dyDescent="0.35">
      <c r="A48" t="s">
        <v>4</v>
      </c>
      <c r="B48">
        <v>21</v>
      </c>
      <c r="C48">
        <v>10</v>
      </c>
      <c r="D48">
        <v>18442</v>
      </c>
    </row>
    <row r="49" spans="1:4" x14ac:dyDescent="0.35">
      <c r="A49" t="s">
        <v>4</v>
      </c>
      <c r="B49">
        <v>21</v>
      </c>
      <c r="C49">
        <v>10</v>
      </c>
      <c r="D49">
        <v>18562</v>
      </c>
    </row>
    <row r="50" spans="1:4" x14ac:dyDescent="0.35">
      <c r="A50" t="s">
        <v>4</v>
      </c>
      <c r="B50">
        <v>22</v>
      </c>
      <c r="C50">
        <v>10</v>
      </c>
      <c r="D50">
        <v>17198</v>
      </c>
    </row>
    <row r="51" spans="1:4" x14ac:dyDescent="0.35">
      <c r="A51" t="s">
        <v>4</v>
      </c>
      <c r="B51">
        <v>22</v>
      </c>
      <c r="C51">
        <v>10</v>
      </c>
      <c r="D51">
        <v>17102</v>
      </c>
    </row>
    <row r="52" spans="1:4" x14ac:dyDescent="0.35">
      <c r="A52" t="s">
        <v>4</v>
      </c>
      <c r="B52">
        <v>22</v>
      </c>
      <c r="C52">
        <v>10</v>
      </c>
      <c r="D52">
        <v>17054</v>
      </c>
    </row>
    <row r="53" spans="1:4" x14ac:dyDescent="0.35">
      <c r="A53" t="s">
        <v>4</v>
      </c>
      <c r="B53">
        <v>23</v>
      </c>
      <c r="C53">
        <v>10</v>
      </c>
      <c r="D53">
        <v>15904</v>
      </c>
    </row>
    <row r="54" spans="1:4" x14ac:dyDescent="0.35">
      <c r="A54" t="s">
        <v>4</v>
      </c>
      <c r="B54">
        <v>23</v>
      </c>
      <c r="C54">
        <v>10</v>
      </c>
      <c r="D54">
        <v>15624</v>
      </c>
    </row>
    <row r="55" spans="1:4" x14ac:dyDescent="0.35">
      <c r="A55" t="s">
        <v>4</v>
      </c>
      <c r="B55">
        <v>23</v>
      </c>
      <c r="C55">
        <v>10</v>
      </c>
      <c r="D55">
        <v>15717</v>
      </c>
    </row>
    <row r="56" spans="1:4" x14ac:dyDescent="0.35">
      <c r="A56" t="s">
        <v>4</v>
      </c>
      <c r="B56">
        <v>24</v>
      </c>
      <c r="C56">
        <v>10</v>
      </c>
      <c r="D56">
        <v>14742</v>
      </c>
    </row>
    <row r="57" spans="1:4" x14ac:dyDescent="0.35">
      <c r="A57" t="s">
        <v>4</v>
      </c>
      <c r="B57">
        <v>24</v>
      </c>
      <c r="C57">
        <v>10</v>
      </c>
      <c r="D57">
        <v>14819</v>
      </c>
    </row>
    <row r="58" spans="1:4" x14ac:dyDescent="0.35">
      <c r="A58" t="s">
        <v>4</v>
      </c>
      <c r="B58">
        <v>24</v>
      </c>
      <c r="C58">
        <v>10</v>
      </c>
      <c r="D58">
        <v>14841</v>
      </c>
    </row>
    <row r="59" spans="1:4" x14ac:dyDescent="0.35">
      <c r="A59" t="s">
        <v>4</v>
      </c>
      <c r="B59">
        <v>25</v>
      </c>
      <c r="C59">
        <v>10</v>
      </c>
      <c r="D59">
        <v>13688</v>
      </c>
    </row>
    <row r="60" spans="1:4" x14ac:dyDescent="0.35">
      <c r="A60" t="s">
        <v>4</v>
      </c>
      <c r="B60">
        <v>25</v>
      </c>
      <c r="C60">
        <v>10</v>
      </c>
      <c r="D60">
        <v>13780</v>
      </c>
    </row>
    <row r="61" spans="1:4" x14ac:dyDescent="0.35">
      <c r="A61" t="s">
        <v>4</v>
      </c>
      <c r="B61">
        <v>25</v>
      </c>
      <c r="C61">
        <v>10</v>
      </c>
      <c r="D61">
        <v>13853</v>
      </c>
    </row>
    <row r="62" spans="1:4" x14ac:dyDescent="0.35">
      <c r="A62" t="s">
        <v>4</v>
      </c>
      <c r="B62">
        <v>26</v>
      </c>
      <c r="C62">
        <v>10</v>
      </c>
      <c r="D62">
        <v>12992</v>
      </c>
    </row>
    <row r="63" spans="1:4" x14ac:dyDescent="0.35">
      <c r="A63" t="s">
        <v>4</v>
      </c>
      <c r="B63">
        <v>26</v>
      </c>
      <c r="C63">
        <v>10</v>
      </c>
      <c r="D63">
        <v>12935</v>
      </c>
    </row>
    <row r="64" spans="1:4" x14ac:dyDescent="0.35">
      <c r="A64" t="s">
        <v>4</v>
      </c>
      <c r="B64">
        <v>26</v>
      </c>
      <c r="C64">
        <v>10</v>
      </c>
      <c r="D64">
        <v>12936</v>
      </c>
    </row>
    <row r="65" spans="1:4" x14ac:dyDescent="0.35">
      <c r="A65" t="s">
        <v>4</v>
      </c>
      <c r="B65">
        <v>27</v>
      </c>
      <c r="C65">
        <v>10</v>
      </c>
      <c r="D65">
        <v>11965</v>
      </c>
    </row>
    <row r="66" spans="1:4" x14ac:dyDescent="0.35">
      <c r="A66" t="s">
        <v>4</v>
      </c>
      <c r="B66">
        <v>27</v>
      </c>
      <c r="C66">
        <v>10</v>
      </c>
      <c r="D66">
        <v>12177</v>
      </c>
    </row>
    <row r="67" spans="1:4" x14ac:dyDescent="0.35">
      <c r="A67" t="s">
        <v>4</v>
      </c>
      <c r="B67">
        <v>27</v>
      </c>
      <c r="C67">
        <v>10</v>
      </c>
      <c r="D67">
        <v>12009</v>
      </c>
    </row>
    <row r="68" spans="1:4" x14ac:dyDescent="0.35">
      <c r="A68" t="s">
        <v>4</v>
      </c>
      <c r="B68">
        <v>28</v>
      </c>
      <c r="C68">
        <v>10</v>
      </c>
      <c r="D68">
        <v>11393</v>
      </c>
    </row>
    <row r="69" spans="1:4" x14ac:dyDescent="0.35">
      <c r="A69" t="s">
        <v>4</v>
      </c>
      <c r="B69">
        <v>28</v>
      </c>
      <c r="C69">
        <v>10</v>
      </c>
      <c r="D69">
        <v>11385</v>
      </c>
    </row>
    <row r="70" spans="1:4" x14ac:dyDescent="0.35">
      <c r="A70" t="s">
        <v>4</v>
      </c>
      <c r="B70">
        <v>28</v>
      </c>
      <c r="C70">
        <v>10</v>
      </c>
      <c r="D70">
        <v>11355</v>
      </c>
    </row>
    <row r="71" spans="1:4" x14ac:dyDescent="0.35">
      <c r="A71" t="s">
        <v>4</v>
      </c>
      <c r="B71">
        <v>29</v>
      </c>
      <c r="C71">
        <v>10</v>
      </c>
      <c r="D71">
        <v>10595</v>
      </c>
    </row>
    <row r="72" spans="1:4" x14ac:dyDescent="0.35">
      <c r="A72" t="s">
        <v>4</v>
      </c>
      <c r="B72">
        <v>29</v>
      </c>
      <c r="C72">
        <v>10</v>
      </c>
      <c r="D72">
        <v>10634</v>
      </c>
    </row>
    <row r="73" spans="1:4" x14ac:dyDescent="0.35">
      <c r="A73" t="s">
        <v>4</v>
      </c>
      <c r="B73">
        <v>29</v>
      </c>
      <c r="C73">
        <v>10</v>
      </c>
      <c r="D73">
        <v>10710</v>
      </c>
    </row>
    <row r="74" spans="1:4" x14ac:dyDescent="0.35">
      <c r="A74" t="s">
        <v>4</v>
      </c>
      <c r="B74">
        <v>30</v>
      </c>
      <c r="C74">
        <v>10</v>
      </c>
      <c r="D74">
        <v>10228</v>
      </c>
    </row>
    <row r="75" spans="1:4" x14ac:dyDescent="0.35">
      <c r="A75" t="s">
        <v>4</v>
      </c>
      <c r="B75">
        <v>30</v>
      </c>
      <c r="C75">
        <v>10</v>
      </c>
      <c r="D75">
        <v>10037</v>
      </c>
    </row>
    <row r="76" spans="1:4" x14ac:dyDescent="0.35">
      <c r="A76" t="s">
        <v>4</v>
      </c>
      <c r="B76">
        <v>30</v>
      </c>
      <c r="C76">
        <v>10</v>
      </c>
      <c r="D76">
        <v>9871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beta_distance_variation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2024-09-07T22:29:01Z</dcterms:created>
  <dcterms:modified xsi:type="dcterms:W3CDTF">2024-09-08T21:41:03Z</dcterms:modified>
</cp:coreProperties>
</file>