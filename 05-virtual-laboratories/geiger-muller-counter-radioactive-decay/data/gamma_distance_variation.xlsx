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pgtd2\Desktop\Lab Sem 1\VL1\Excel files\"/>
    </mc:Choice>
  </mc:AlternateContent>
  <xr:revisionPtr revIDLastSave="0" documentId="13_ncr:9_{C0ED346F-601C-4494-9FF5-DE6DB110937C}" xr6:coauthVersionLast="47" xr6:coauthVersionMax="47" xr10:uidLastSave="{00000000-0000-0000-0000-000000000000}"/>
  <bookViews>
    <workbookView xWindow="-110" yWindow="-110" windowWidth="19420" windowHeight="10300" xr2:uid="{2A322D67-37AC-4180-9FEB-0DD01890DB99}"/>
  </bookViews>
  <sheets>
    <sheet name="gamma_distance_variation" sheetId="1" r:id="rId1"/>
  </sheets>
  <calcPr calcId="191029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G2" i="1" l="1"/>
  <c r="G3" i="1"/>
  <c r="G4" i="1"/>
  <c r="G5" i="1"/>
  <c r="H5" i="1" s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" i="1"/>
  <c r="H21" i="1" l="1"/>
  <c r="H15" i="1"/>
  <c r="H9" i="1"/>
  <c r="H3" i="1"/>
  <c r="H26" i="1"/>
  <c r="H20" i="1"/>
  <c r="H14" i="1"/>
  <c r="H8" i="1"/>
  <c r="H25" i="1"/>
  <c r="H19" i="1"/>
  <c r="H13" i="1"/>
  <c r="H7" i="1"/>
  <c r="H23" i="1"/>
  <c r="H17" i="1"/>
  <c r="H11" i="1"/>
  <c r="H22" i="1"/>
  <c r="H16" i="1"/>
  <c r="H10" i="1"/>
  <c r="H4" i="1"/>
  <c r="H2" i="1"/>
  <c r="H24" i="1"/>
  <c r="H18" i="1"/>
  <c r="H12" i="1"/>
  <c r="H6" i="1"/>
</calcChain>
</file>

<file path=xl/sharedStrings.xml><?xml version="1.0" encoding="utf-8"?>
<sst xmlns="http://purl.oclc.org/ooxml/spreadsheetml/main" count="83" uniqueCount="9">
  <si>
    <t>Source</t>
  </si>
  <si>
    <t>Distance (cm)</t>
  </si>
  <si>
    <t>Count Duration (sec)</t>
  </si>
  <si>
    <t>Count</t>
  </si>
  <si>
    <t>Ba-131</t>
  </si>
  <si>
    <t>Distance</t>
  </si>
  <si>
    <t>Avg Count</t>
  </si>
  <si>
    <t>error</t>
  </si>
  <si>
    <t>Percentage Error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</si>
</sst>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gamma_distance_variation!$F$1</c:f>
              <c:strCache>
                <c:ptCount val="1"/>
                <c:pt idx="0">
                  <c:v>Avg Count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gamma_distance_variation!$E$2:$E$76</c:f>
              <c:numCache>
                <c:formatCode>General</c:formatCode>
                <c:ptCount val="75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30</c:v>
                </c:pt>
              </c:numCache>
            </c:numRef>
          </c:xVal>
          <c:yVal>
            <c:numRef>
              <c:f>gamma_distance_variation!$F$2:$F$76</c:f>
              <c:numCache>
                <c:formatCode>0.00</c:formatCode>
                <c:ptCount val="75"/>
                <c:pt idx="0">
                  <c:v>12120.666666666666</c:v>
                </c:pt>
                <c:pt idx="1">
                  <c:v>9366.6666666666661</c:v>
                </c:pt>
                <c:pt idx="2">
                  <c:v>7213.333333333333</c:v>
                </c:pt>
                <c:pt idx="3">
                  <c:v>5884.333333333333</c:v>
                </c:pt>
                <c:pt idx="4">
                  <c:v>4794</c:v>
                </c:pt>
                <c:pt idx="5">
                  <c:v>3901.3333333333335</c:v>
                </c:pt>
                <c:pt idx="6">
                  <c:v>3377</c:v>
                </c:pt>
                <c:pt idx="7">
                  <c:v>2910.6666666666665</c:v>
                </c:pt>
                <c:pt idx="8">
                  <c:v>2480</c:v>
                </c:pt>
                <c:pt idx="9">
                  <c:v>2210</c:v>
                </c:pt>
                <c:pt idx="10">
                  <c:v>1904.6666666666667</c:v>
                </c:pt>
                <c:pt idx="11">
                  <c:v>1679.6666666666667</c:v>
                </c:pt>
                <c:pt idx="12">
                  <c:v>1552.3333333333333</c:v>
                </c:pt>
                <c:pt idx="13">
                  <c:v>1393.3333333333333</c:v>
                </c:pt>
                <c:pt idx="14">
                  <c:v>1231.3333333333333</c:v>
                </c:pt>
                <c:pt idx="15">
                  <c:v>1131</c:v>
                </c:pt>
                <c:pt idx="16">
                  <c:v>1054.6666666666667</c:v>
                </c:pt>
                <c:pt idx="17">
                  <c:v>964.66666666666663</c:v>
                </c:pt>
                <c:pt idx="18">
                  <c:v>917.33333333333337</c:v>
                </c:pt>
                <c:pt idx="19">
                  <c:v>818.33333333333337</c:v>
                </c:pt>
                <c:pt idx="20">
                  <c:v>769</c:v>
                </c:pt>
                <c:pt idx="21">
                  <c:v>698.66666666666663</c:v>
                </c:pt>
                <c:pt idx="22">
                  <c:v>630.66666666666663</c:v>
                </c:pt>
                <c:pt idx="23">
                  <c:v>621.33333333333337</c:v>
                </c:pt>
                <c:pt idx="24">
                  <c:v>559.33333333333337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79-490D-BF5D-A94168210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106720"/>
        <c:axId val="1581098080"/>
      </c:scatterChart>
      <c:valAx>
        <c:axId val="158110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098080"/>
        <c:crosses val="autoZero"/>
        <c:crossBetween val="midCat"/>
      </c:valAx>
      <c:valAx>
        <c:axId val="158109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106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gamma_distance_variation!$H$1</c:f>
              <c:strCache>
                <c:ptCount val="1"/>
                <c:pt idx="0">
                  <c:v>Percentage Error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gamma_distance_variation!$E$2:$E$76</c:f>
              <c:numCache>
                <c:formatCode>General</c:formatCode>
                <c:ptCount val="75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30</c:v>
                </c:pt>
              </c:numCache>
            </c:numRef>
          </c:xVal>
          <c:yVal>
            <c:numRef>
              <c:f>gamma_distance_variation!$H$2:$H$76</c:f>
              <c:numCache>
                <c:formatCode>0.00</c:formatCode>
                <c:ptCount val="75"/>
                <c:pt idx="0">
                  <c:v>0.12147331183850052</c:v>
                </c:pt>
                <c:pt idx="1">
                  <c:v>4.9439302453558029E-2</c:v>
                </c:pt>
                <c:pt idx="2">
                  <c:v>0.96990788080546109</c:v>
                </c:pt>
                <c:pt idx="3">
                  <c:v>1.3804241416243495</c:v>
                </c:pt>
                <c:pt idx="4">
                  <c:v>9.8577714356541696E-2</c:v>
                </c:pt>
                <c:pt idx="5">
                  <c:v>0.6459691787913806</c:v>
                </c:pt>
                <c:pt idx="6">
                  <c:v>0.74030204323363935</c:v>
                </c:pt>
                <c:pt idx="7">
                  <c:v>0.49483274623152318</c:v>
                </c:pt>
                <c:pt idx="8">
                  <c:v>1.837665945984813</c:v>
                </c:pt>
                <c:pt idx="9">
                  <c:v>0.73148450395065712</c:v>
                </c:pt>
                <c:pt idx="10">
                  <c:v>2.5238300667628746</c:v>
                </c:pt>
                <c:pt idx="11">
                  <c:v>1.2017416040645115</c:v>
                </c:pt>
                <c:pt idx="12">
                  <c:v>0.88353191374021833</c:v>
                </c:pt>
                <c:pt idx="13">
                  <c:v>2.2013469594101496</c:v>
                </c:pt>
                <c:pt idx="14">
                  <c:v>1.5708136520199254</c:v>
                </c:pt>
                <c:pt idx="15">
                  <c:v>1.9698089963462362</c:v>
                </c:pt>
                <c:pt idx="16">
                  <c:v>1.5074892563478914</c:v>
                </c:pt>
                <c:pt idx="17">
                  <c:v>1.4343135853847451</c:v>
                </c:pt>
                <c:pt idx="18">
                  <c:v>1.4521250874046574</c:v>
                </c:pt>
                <c:pt idx="19">
                  <c:v>3.6716408100447957</c:v>
                </c:pt>
                <c:pt idx="20">
                  <c:v>1.4654652366169889</c:v>
                </c:pt>
                <c:pt idx="21">
                  <c:v>2.1490659598387802</c:v>
                </c:pt>
                <c:pt idx="22">
                  <c:v>2.0599551025269642</c:v>
                </c:pt>
                <c:pt idx="23">
                  <c:v>0.84314558184022059</c:v>
                </c:pt>
                <c:pt idx="24">
                  <c:v>3.5672327587549897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7E-4DAF-A7E8-2DBEC7BBA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6567471"/>
        <c:axId val="660872079"/>
      </c:scatterChart>
      <c:valAx>
        <c:axId val="886567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872079"/>
        <c:crosses val="autoZero"/>
        <c:crossBetween val="midCat"/>
      </c:valAx>
      <c:valAx>
        <c:axId val="66087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567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purl.oclc.org/ooxml/officeDocument/relationships/chart" Target="../charts/chart2.xml"/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8</xdr:col>
      <xdr:colOff>314325</xdr:colOff>
      <xdr:row>2</xdr:row>
      <xdr:rowOff>98425</xdr:rowOff>
    </xdr:from>
    <xdr:to>
      <xdr:col>16</xdr:col>
      <xdr:colOff>460375</xdr:colOff>
      <xdr:row>17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B7200B-6252-E6AA-F22B-ECFD4299E6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8</xdr:col>
      <xdr:colOff>574675</xdr:colOff>
      <xdr:row>17</xdr:row>
      <xdr:rowOff>95250</xdr:rowOff>
    </xdr:from>
    <xdr:to>
      <xdr:col>16</xdr:col>
      <xdr:colOff>269875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B35761-B5F9-C88E-0136-1ACA16E56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5669B-67BD-4466-92C1-71B799D50F86}">
  <dimension ref="A1:H76"/>
  <sheetViews>
    <sheetView tabSelected="1" topLeftCell="A15" workbookViewId="0">
      <selection activeCell="H32" sqref="H32"/>
    </sheetView>
  </sheetViews>
  <sheetFormatPr defaultRowHeight="14.5" x14ac:dyDescent="0.35"/>
  <cols>
    <col min="6" max="7" width="8.7265625" style="1"/>
    <col min="8" max="8" width="15.1796875" style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5</v>
      </c>
      <c r="F1" s="1" t="s">
        <v>6</v>
      </c>
      <c r="G1" s="1" t="s">
        <v>7</v>
      </c>
      <c r="H1" s="1" t="s">
        <v>8</v>
      </c>
    </row>
    <row r="2" spans="1:8" x14ac:dyDescent="0.35">
      <c r="A2" t="s">
        <v>4</v>
      </c>
      <c r="B2">
        <v>6</v>
      </c>
      <c r="C2">
        <v>10</v>
      </c>
      <c r="D2">
        <v>12121</v>
      </c>
      <c r="E2">
        <f ca="1">AVERAGE(OFFSET($B$2, (ROW()-ROW($C$2))*3, 0, 3, 1))</f>
        <v>6</v>
      </c>
      <c r="F2" s="1">
        <f ca="1">AVERAGE(OFFSET($D$2, (ROW()-ROW($C$2))*3, 0, 3, 1))</f>
        <v>12120.666666666666</v>
      </c>
      <c r="G2" s="1">
        <f ca="1">_xlfn.STDEV.S(OFFSET($D$2,(ROW()-ROW($C$2))*3,0,3,1))/SQRT(3)</f>
        <v>14.723375216905186</v>
      </c>
      <c r="H2" s="1">
        <f ca="1">G2*100/F2</f>
        <v>0.12147331183850052</v>
      </c>
    </row>
    <row r="3" spans="1:8" x14ac:dyDescent="0.35">
      <c r="A3" t="s">
        <v>4</v>
      </c>
      <c r="B3">
        <v>6</v>
      </c>
      <c r="C3">
        <v>10</v>
      </c>
      <c r="D3">
        <v>12095</v>
      </c>
      <c r="E3">
        <f t="shared" ref="E3:E26" ca="1" si="0">AVERAGE(OFFSET($B$2, (ROW()-ROW($C$2))*3, 0, 3, 1))</f>
        <v>7</v>
      </c>
      <c r="F3" s="1">
        <f t="shared" ref="F3:F26" ca="1" si="1">AVERAGE(OFFSET($D$2, (ROW()-ROW($C$2))*3, 0, 3, 1))</f>
        <v>9366.6666666666661</v>
      </c>
      <c r="G3" s="1">
        <f t="shared" ref="G3:G26" ca="1" si="2">_xlfn.STDEV.S(OFFSET($D$2,(ROW()-ROW($C$2))*3,0,3,1))/SQRT(3)</f>
        <v>4.630814663149935</v>
      </c>
      <c r="H3" s="1">
        <f t="shared" ref="H3:H26" ca="1" si="3">G3*100/F3</f>
        <v>4.9439302453558029E-2</v>
      </c>
    </row>
    <row r="4" spans="1:8" x14ac:dyDescent="0.35">
      <c r="A4" t="s">
        <v>4</v>
      </c>
      <c r="B4">
        <v>6</v>
      </c>
      <c r="C4">
        <v>10</v>
      </c>
      <c r="D4">
        <v>12146</v>
      </c>
      <c r="E4">
        <f t="shared" ca="1" si="0"/>
        <v>8</v>
      </c>
      <c r="F4" s="1">
        <f t="shared" ca="1" si="1"/>
        <v>7213.333333333333</v>
      </c>
      <c r="G4" s="1">
        <f t="shared" ca="1" si="2"/>
        <v>69.962688468767254</v>
      </c>
      <c r="H4" s="1">
        <f t="shared" ca="1" si="3"/>
        <v>0.96990788080546109</v>
      </c>
    </row>
    <row r="5" spans="1:8" x14ac:dyDescent="0.35">
      <c r="A5" t="s">
        <v>4</v>
      </c>
      <c r="B5">
        <v>7</v>
      </c>
      <c r="C5">
        <v>10</v>
      </c>
      <c r="D5">
        <v>9359</v>
      </c>
      <c r="E5">
        <f t="shared" ca="1" si="0"/>
        <v>9</v>
      </c>
      <c r="F5" s="1">
        <f t="shared" ca="1" si="1"/>
        <v>5884.333333333333</v>
      </c>
      <c r="G5" s="1">
        <f t="shared" ca="1" si="2"/>
        <v>81.228757906982125</v>
      </c>
      <c r="H5" s="1">
        <f t="shared" ca="1" si="3"/>
        <v>1.3804241416243495</v>
      </c>
    </row>
    <row r="6" spans="1:8" x14ac:dyDescent="0.35">
      <c r="A6" t="s">
        <v>4</v>
      </c>
      <c r="B6">
        <v>7</v>
      </c>
      <c r="C6">
        <v>10</v>
      </c>
      <c r="D6">
        <v>9366</v>
      </c>
      <c r="E6">
        <f t="shared" ca="1" si="0"/>
        <v>10</v>
      </c>
      <c r="F6" s="1">
        <f t="shared" ca="1" si="1"/>
        <v>4794</v>
      </c>
      <c r="G6" s="1">
        <f t="shared" ca="1" si="2"/>
        <v>4.7258156262526088</v>
      </c>
      <c r="H6" s="1">
        <f t="shared" ca="1" si="3"/>
        <v>9.8577714356541696E-2</v>
      </c>
    </row>
    <row r="7" spans="1:8" x14ac:dyDescent="0.35">
      <c r="A7" t="s">
        <v>4</v>
      </c>
      <c r="B7">
        <v>7</v>
      </c>
      <c r="C7">
        <v>10</v>
      </c>
      <c r="D7">
        <v>9375</v>
      </c>
      <c r="E7">
        <f t="shared" ca="1" si="0"/>
        <v>11</v>
      </c>
      <c r="F7" s="1">
        <f t="shared" ca="1" si="1"/>
        <v>3901.3333333333335</v>
      </c>
      <c r="G7" s="1">
        <f t="shared" ca="1" si="2"/>
        <v>25.201410895247733</v>
      </c>
      <c r="H7" s="1">
        <f t="shared" ca="1" si="3"/>
        <v>0.6459691787913806</v>
      </c>
    </row>
    <row r="8" spans="1:8" x14ac:dyDescent="0.35">
      <c r="A8" t="s">
        <v>4</v>
      </c>
      <c r="B8">
        <v>8</v>
      </c>
      <c r="C8">
        <v>10</v>
      </c>
      <c r="D8">
        <v>7171</v>
      </c>
      <c r="E8">
        <f t="shared" ca="1" si="0"/>
        <v>12</v>
      </c>
      <c r="F8" s="1">
        <f t="shared" ca="1" si="1"/>
        <v>3377</v>
      </c>
      <c r="G8" s="1">
        <f t="shared" ca="1" si="2"/>
        <v>25</v>
      </c>
      <c r="H8" s="1">
        <f t="shared" ca="1" si="3"/>
        <v>0.74030204323363935</v>
      </c>
    </row>
    <row r="9" spans="1:8" x14ac:dyDescent="0.35">
      <c r="A9" t="s">
        <v>4</v>
      </c>
      <c r="B9">
        <v>8</v>
      </c>
      <c r="C9">
        <v>10</v>
      </c>
      <c r="D9">
        <v>7350</v>
      </c>
      <c r="E9">
        <f t="shared" ca="1" si="0"/>
        <v>13</v>
      </c>
      <c r="F9" s="1">
        <f t="shared" ca="1" si="1"/>
        <v>2910.6666666666665</v>
      </c>
      <c r="G9" s="1">
        <f t="shared" ca="1" si="2"/>
        <v>14.402931800312201</v>
      </c>
      <c r="H9" s="1">
        <f t="shared" ca="1" si="3"/>
        <v>0.49483274623152318</v>
      </c>
    </row>
    <row r="10" spans="1:8" x14ac:dyDescent="0.35">
      <c r="A10" t="s">
        <v>4</v>
      </c>
      <c r="B10">
        <v>8</v>
      </c>
      <c r="C10">
        <v>10</v>
      </c>
      <c r="D10">
        <v>7119</v>
      </c>
      <c r="E10">
        <f t="shared" ca="1" si="0"/>
        <v>14</v>
      </c>
      <c r="F10" s="1">
        <f t="shared" ca="1" si="1"/>
        <v>2480</v>
      </c>
      <c r="G10" s="1">
        <f t="shared" ca="1" si="2"/>
        <v>45.574115460423364</v>
      </c>
      <c r="H10" s="1">
        <f t="shared" ca="1" si="3"/>
        <v>1.837665945984813</v>
      </c>
    </row>
    <row r="11" spans="1:8" x14ac:dyDescent="0.35">
      <c r="A11" t="s">
        <v>4</v>
      </c>
      <c r="B11">
        <v>9</v>
      </c>
      <c r="C11">
        <v>10</v>
      </c>
      <c r="D11">
        <v>5726</v>
      </c>
      <c r="E11">
        <f t="shared" ca="1" si="0"/>
        <v>15</v>
      </c>
      <c r="F11" s="1">
        <f t="shared" ca="1" si="1"/>
        <v>2210</v>
      </c>
      <c r="G11" s="1">
        <f t="shared" ca="1" si="2"/>
        <v>16.165807537309522</v>
      </c>
      <c r="H11" s="1">
        <f t="shared" ca="1" si="3"/>
        <v>0.73148450395065712</v>
      </c>
    </row>
    <row r="12" spans="1:8" x14ac:dyDescent="0.35">
      <c r="A12" t="s">
        <v>4</v>
      </c>
      <c r="B12">
        <v>9</v>
      </c>
      <c r="C12">
        <v>10</v>
      </c>
      <c r="D12">
        <v>5995</v>
      </c>
      <c r="E12">
        <f t="shared" ca="1" si="0"/>
        <v>16</v>
      </c>
      <c r="F12" s="1">
        <f t="shared" ca="1" si="1"/>
        <v>1904.6666666666667</v>
      </c>
      <c r="G12" s="1">
        <f t="shared" ca="1" si="2"/>
        <v>48.070550004943549</v>
      </c>
      <c r="H12" s="1">
        <f t="shared" ca="1" si="3"/>
        <v>2.5238300667628746</v>
      </c>
    </row>
    <row r="13" spans="1:8" x14ac:dyDescent="0.35">
      <c r="A13" t="s">
        <v>4</v>
      </c>
      <c r="B13">
        <v>9</v>
      </c>
      <c r="C13">
        <v>10</v>
      </c>
      <c r="D13">
        <v>5932</v>
      </c>
      <c r="E13">
        <f t="shared" ca="1" si="0"/>
        <v>17</v>
      </c>
      <c r="F13" s="1">
        <f t="shared" ca="1" si="1"/>
        <v>1679.6666666666667</v>
      </c>
      <c r="G13" s="1">
        <f t="shared" ca="1" si="2"/>
        <v>20.185253142936912</v>
      </c>
      <c r="H13" s="1">
        <f t="shared" ca="1" si="3"/>
        <v>1.2017416040645115</v>
      </c>
    </row>
    <row r="14" spans="1:8" x14ac:dyDescent="0.35">
      <c r="A14" t="s">
        <v>4</v>
      </c>
      <c r="B14">
        <v>10</v>
      </c>
      <c r="C14">
        <v>10</v>
      </c>
      <c r="D14">
        <v>4803</v>
      </c>
      <c r="E14">
        <f t="shared" ca="1" si="0"/>
        <v>18</v>
      </c>
      <c r="F14" s="1">
        <f t="shared" ca="1" si="1"/>
        <v>1552.3333333333333</v>
      </c>
      <c r="G14" s="1">
        <f t="shared" ca="1" si="2"/>
        <v>13.715360407627323</v>
      </c>
      <c r="H14" s="1">
        <f t="shared" ca="1" si="3"/>
        <v>0.88353191374021833</v>
      </c>
    </row>
    <row r="15" spans="1:8" x14ac:dyDescent="0.35">
      <c r="A15" t="s">
        <v>4</v>
      </c>
      <c r="B15">
        <v>10</v>
      </c>
      <c r="C15">
        <v>10</v>
      </c>
      <c r="D15">
        <v>4792</v>
      </c>
      <c r="E15">
        <f t="shared" ca="1" si="0"/>
        <v>19</v>
      </c>
      <c r="F15" s="1">
        <f t="shared" ca="1" si="1"/>
        <v>1393.3333333333333</v>
      </c>
      <c r="G15" s="1">
        <f t="shared" ca="1" si="2"/>
        <v>30.672100967781418</v>
      </c>
      <c r="H15" s="1">
        <f t="shared" ca="1" si="3"/>
        <v>2.2013469594101496</v>
      </c>
    </row>
    <row r="16" spans="1:8" x14ac:dyDescent="0.35">
      <c r="A16" t="s">
        <v>4</v>
      </c>
      <c r="B16">
        <v>10</v>
      </c>
      <c r="C16">
        <v>10</v>
      </c>
      <c r="D16">
        <v>4787</v>
      </c>
      <c r="E16">
        <f t="shared" ca="1" si="0"/>
        <v>20</v>
      </c>
      <c r="F16" s="1">
        <f t="shared" ca="1" si="1"/>
        <v>1231.3333333333333</v>
      </c>
      <c r="G16" s="1">
        <f t="shared" ca="1" si="2"/>
        <v>19.341952101872014</v>
      </c>
      <c r="H16" s="1">
        <f t="shared" ca="1" si="3"/>
        <v>1.5708136520199254</v>
      </c>
    </row>
    <row r="17" spans="1:8" x14ac:dyDescent="0.35">
      <c r="A17" t="s">
        <v>4</v>
      </c>
      <c r="B17">
        <v>11</v>
      </c>
      <c r="C17">
        <v>10</v>
      </c>
      <c r="D17">
        <v>3910</v>
      </c>
      <c r="E17">
        <f t="shared" ca="1" si="0"/>
        <v>21</v>
      </c>
      <c r="F17" s="1">
        <f t="shared" ca="1" si="1"/>
        <v>1131</v>
      </c>
      <c r="G17" s="1">
        <f t="shared" ca="1" si="2"/>
        <v>22.278539748675932</v>
      </c>
      <c r="H17" s="1">
        <f t="shared" ca="1" si="3"/>
        <v>1.9698089963462362</v>
      </c>
    </row>
    <row r="18" spans="1:8" x14ac:dyDescent="0.35">
      <c r="A18" t="s">
        <v>4</v>
      </c>
      <c r="B18">
        <v>11</v>
      </c>
      <c r="C18">
        <v>10</v>
      </c>
      <c r="D18">
        <v>3940</v>
      </c>
      <c r="E18">
        <f t="shared" ca="1" si="0"/>
        <v>22</v>
      </c>
      <c r="F18" s="1">
        <f t="shared" ca="1" si="1"/>
        <v>1054.6666666666667</v>
      </c>
      <c r="G18" s="1">
        <f t="shared" ca="1" si="2"/>
        <v>15.898986690282429</v>
      </c>
      <c r="H18" s="1">
        <f t="shared" ca="1" si="3"/>
        <v>1.5074892563478914</v>
      </c>
    </row>
    <row r="19" spans="1:8" x14ac:dyDescent="0.35">
      <c r="A19" t="s">
        <v>4</v>
      </c>
      <c r="B19">
        <v>11</v>
      </c>
      <c r="C19">
        <v>10</v>
      </c>
      <c r="D19">
        <v>3854</v>
      </c>
      <c r="E19">
        <f t="shared" ca="1" si="0"/>
        <v>23</v>
      </c>
      <c r="F19" s="1">
        <f t="shared" ca="1" si="1"/>
        <v>964.66666666666663</v>
      </c>
      <c r="G19" s="1">
        <f t="shared" ca="1" si="2"/>
        <v>13.836345053678174</v>
      </c>
      <c r="H19" s="1">
        <f t="shared" ca="1" si="3"/>
        <v>1.4343135853847451</v>
      </c>
    </row>
    <row r="20" spans="1:8" x14ac:dyDescent="0.35">
      <c r="A20" t="s">
        <v>4</v>
      </c>
      <c r="B20">
        <v>12</v>
      </c>
      <c r="C20">
        <v>10</v>
      </c>
      <c r="D20">
        <v>3352</v>
      </c>
      <c r="E20">
        <f t="shared" ca="1" si="0"/>
        <v>24</v>
      </c>
      <c r="F20" s="1">
        <f t="shared" ca="1" si="1"/>
        <v>917.33333333333337</v>
      </c>
      <c r="G20" s="1">
        <f t="shared" ca="1" si="2"/>
        <v>13.320827468458724</v>
      </c>
      <c r="H20" s="1">
        <f t="shared" ca="1" si="3"/>
        <v>1.4521250874046574</v>
      </c>
    </row>
    <row r="21" spans="1:8" x14ac:dyDescent="0.35">
      <c r="A21" t="s">
        <v>4</v>
      </c>
      <c r="B21">
        <v>12</v>
      </c>
      <c r="C21">
        <v>10</v>
      </c>
      <c r="D21">
        <v>3352</v>
      </c>
      <c r="E21">
        <f t="shared" ca="1" si="0"/>
        <v>25</v>
      </c>
      <c r="F21" s="1">
        <f t="shared" ca="1" si="1"/>
        <v>818.33333333333337</v>
      </c>
      <c r="G21" s="1">
        <f t="shared" ca="1" si="2"/>
        <v>30.04626062886658</v>
      </c>
      <c r="H21" s="1">
        <f t="shared" ca="1" si="3"/>
        <v>3.6716408100447957</v>
      </c>
    </row>
    <row r="22" spans="1:8" x14ac:dyDescent="0.35">
      <c r="A22" t="s">
        <v>4</v>
      </c>
      <c r="B22">
        <v>12</v>
      </c>
      <c r="C22">
        <v>10</v>
      </c>
      <c r="D22">
        <v>3427</v>
      </c>
      <c r="E22">
        <f t="shared" ca="1" si="0"/>
        <v>26</v>
      </c>
      <c r="F22" s="1">
        <f t="shared" ca="1" si="1"/>
        <v>769</v>
      </c>
      <c r="G22" s="1">
        <f t="shared" ca="1" si="2"/>
        <v>11.269427669584646</v>
      </c>
      <c r="H22" s="1">
        <f t="shared" ca="1" si="3"/>
        <v>1.4654652366169889</v>
      </c>
    </row>
    <row r="23" spans="1:8" x14ac:dyDescent="0.35">
      <c r="A23" t="s">
        <v>4</v>
      </c>
      <c r="B23">
        <v>13</v>
      </c>
      <c r="C23">
        <v>10</v>
      </c>
      <c r="D23">
        <v>2892</v>
      </c>
      <c r="E23">
        <f t="shared" ca="1" si="0"/>
        <v>27</v>
      </c>
      <c r="F23" s="1">
        <f t="shared" ca="1" si="1"/>
        <v>698.66666666666663</v>
      </c>
      <c r="G23" s="1">
        <f t="shared" ca="1" si="2"/>
        <v>15.014807506073611</v>
      </c>
      <c r="H23" s="1">
        <f t="shared" ca="1" si="3"/>
        <v>2.1490659598387802</v>
      </c>
    </row>
    <row r="24" spans="1:8" x14ac:dyDescent="0.35">
      <c r="A24" t="s">
        <v>4</v>
      </c>
      <c r="B24">
        <v>13</v>
      </c>
      <c r="C24">
        <v>10</v>
      </c>
      <c r="D24">
        <v>2939</v>
      </c>
      <c r="E24">
        <f t="shared" ca="1" si="0"/>
        <v>28</v>
      </c>
      <c r="F24" s="1">
        <f t="shared" ca="1" si="1"/>
        <v>630.66666666666663</v>
      </c>
      <c r="G24" s="1">
        <f t="shared" ca="1" si="2"/>
        <v>12.991450179936718</v>
      </c>
      <c r="H24" s="1">
        <f t="shared" ca="1" si="3"/>
        <v>2.0599551025269642</v>
      </c>
    </row>
    <row r="25" spans="1:8" x14ac:dyDescent="0.35">
      <c r="A25" t="s">
        <v>4</v>
      </c>
      <c r="B25">
        <v>13</v>
      </c>
      <c r="C25">
        <v>10</v>
      </c>
      <c r="D25">
        <v>2901</v>
      </c>
      <c r="E25">
        <f t="shared" ca="1" si="0"/>
        <v>29</v>
      </c>
      <c r="F25" s="1">
        <f t="shared" ca="1" si="1"/>
        <v>621.33333333333337</v>
      </c>
      <c r="G25" s="1">
        <f t="shared" ca="1" si="2"/>
        <v>5.2387445485005708</v>
      </c>
      <c r="H25" s="1">
        <f t="shared" ca="1" si="3"/>
        <v>0.84314558184022059</v>
      </c>
    </row>
    <row r="26" spans="1:8" x14ac:dyDescent="0.35">
      <c r="A26" t="s">
        <v>4</v>
      </c>
      <c r="B26">
        <v>14</v>
      </c>
      <c r="C26">
        <v>10</v>
      </c>
      <c r="D26">
        <v>2395</v>
      </c>
      <c r="E26">
        <f t="shared" ca="1" si="0"/>
        <v>30</v>
      </c>
      <c r="F26" s="1">
        <f t="shared" ca="1" si="1"/>
        <v>559.33333333333337</v>
      </c>
      <c r="G26" s="1">
        <f t="shared" ca="1" si="2"/>
        <v>19.952721897302911</v>
      </c>
      <c r="H26" s="1">
        <f t="shared" ca="1" si="3"/>
        <v>3.5672327587549897</v>
      </c>
    </row>
    <row r="27" spans="1:8" x14ac:dyDescent="0.35">
      <c r="A27" t="s">
        <v>4</v>
      </c>
      <c r="B27">
        <v>14</v>
      </c>
      <c r="C27">
        <v>10</v>
      </c>
      <c r="D27">
        <v>2494</v>
      </c>
    </row>
    <row r="28" spans="1:8" x14ac:dyDescent="0.35">
      <c r="A28" t="s">
        <v>4</v>
      </c>
      <c r="B28">
        <v>14</v>
      </c>
      <c r="C28">
        <v>10</v>
      </c>
      <c r="D28">
        <v>2551</v>
      </c>
    </row>
    <row r="29" spans="1:8" x14ac:dyDescent="0.35">
      <c r="A29" t="s">
        <v>4</v>
      </c>
      <c r="B29">
        <v>15</v>
      </c>
      <c r="C29">
        <v>10</v>
      </c>
      <c r="D29">
        <v>2238</v>
      </c>
    </row>
    <row r="30" spans="1:8" x14ac:dyDescent="0.35">
      <c r="A30" t="s">
        <v>4</v>
      </c>
      <c r="B30">
        <v>15</v>
      </c>
      <c r="C30">
        <v>10</v>
      </c>
      <c r="D30">
        <v>2210</v>
      </c>
    </row>
    <row r="31" spans="1:8" x14ac:dyDescent="0.35">
      <c r="A31" t="s">
        <v>4</v>
      </c>
      <c r="B31">
        <v>15</v>
      </c>
      <c r="C31">
        <v>10</v>
      </c>
      <c r="D31">
        <v>2182</v>
      </c>
    </row>
    <row r="32" spans="1:8" x14ac:dyDescent="0.35">
      <c r="A32" t="s">
        <v>4</v>
      </c>
      <c r="B32">
        <v>16</v>
      </c>
      <c r="C32">
        <v>10</v>
      </c>
      <c r="D32">
        <v>1888</v>
      </c>
    </row>
    <row r="33" spans="1:4" x14ac:dyDescent="0.35">
      <c r="A33" t="s">
        <v>4</v>
      </c>
      <c r="B33">
        <v>16</v>
      </c>
      <c r="C33">
        <v>10</v>
      </c>
      <c r="D33">
        <v>1995</v>
      </c>
    </row>
    <row r="34" spans="1:4" x14ac:dyDescent="0.35">
      <c r="A34" t="s">
        <v>4</v>
      </c>
      <c r="B34">
        <v>16</v>
      </c>
      <c r="C34">
        <v>10</v>
      </c>
      <c r="D34">
        <v>1831</v>
      </c>
    </row>
    <row r="35" spans="1:4" x14ac:dyDescent="0.35">
      <c r="A35" t="s">
        <v>4</v>
      </c>
      <c r="B35">
        <v>17</v>
      </c>
      <c r="C35">
        <v>10</v>
      </c>
      <c r="D35">
        <v>1706</v>
      </c>
    </row>
    <row r="36" spans="1:4" x14ac:dyDescent="0.35">
      <c r="A36" t="s">
        <v>4</v>
      </c>
      <c r="B36">
        <v>17</v>
      </c>
      <c r="C36">
        <v>10</v>
      </c>
      <c r="D36">
        <v>1693</v>
      </c>
    </row>
    <row r="37" spans="1:4" x14ac:dyDescent="0.35">
      <c r="A37" t="s">
        <v>4</v>
      </c>
      <c r="B37">
        <v>17</v>
      </c>
      <c r="C37">
        <v>10</v>
      </c>
      <c r="D37">
        <v>1640</v>
      </c>
    </row>
    <row r="38" spans="1:4" x14ac:dyDescent="0.35">
      <c r="A38" t="s">
        <v>4</v>
      </c>
      <c r="B38">
        <v>18</v>
      </c>
      <c r="C38">
        <v>10</v>
      </c>
      <c r="D38">
        <v>1568</v>
      </c>
    </row>
    <row r="39" spans="1:4" x14ac:dyDescent="0.35">
      <c r="A39" t="s">
        <v>4</v>
      </c>
      <c r="B39">
        <v>18</v>
      </c>
      <c r="C39">
        <v>10</v>
      </c>
      <c r="D39">
        <v>1564</v>
      </c>
    </row>
    <row r="40" spans="1:4" x14ac:dyDescent="0.35">
      <c r="A40" t="s">
        <v>4</v>
      </c>
      <c r="B40">
        <v>18</v>
      </c>
      <c r="C40">
        <v>10</v>
      </c>
      <c r="D40">
        <v>1525</v>
      </c>
    </row>
    <row r="41" spans="1:4" x14ac:dyDescent="0.35">
      <c r="A41" t="s">
        <v>4</v>
      </c>
      <c r="B41">
        <v>19</v>
      </c>
      <c r="C41">
        <v>10</v>
      </c>
      <c r="D41">
        <v>1423</v>
      </c>
    </row>
    <row r="42" spans="1:4" x14ac:dyDescent="0.35">
      <c r="A42" t="s">
        <v>4</v>
      </c>
      <c r="B42">
        <v>19</v>
      </c>
      <c r="C42">
        <v>10</v>
      </c>
      <c r="D42">
        <v>1425</v>
      </c>
    </row>
    <row r="43" spans="1:4" x14ac:dyDescent="0.35">
      <c r="A43" t="s">
        <v>4</v>
      </c>
      <c r="B43">
        <v>19</v>
      </c>
      <c r="C43">
        <v>10</v>
      </c>
      <c r="D43">
        <v>1332</v>
      </c>
    </row>
    <row r="44" spans="1:4" x14ac:dyDescent="0.35">
      <c r="A44" t="s">
        <v>4</v>
      </c>
      <c r="B44">
        <v>20</v>
      </c>
      <c r="C44">
        <v>10</v>
      </c>
      <c r="D44">
        <v>1195</v>
      </c>
    </row>
    <row r="45" spans="1:4" x14ac:dyDescent="0.35">
      <c r="A45" t="s">
        <v>4</v>
      </c>
      <c r="B45">
        <v>20</v>
      </c>
      <c r="C45">
        <v>10</v>
      </c>
      <c r="D45">
        <v>1261</v>
      </c>
    </row>
    <row r="46" spans="1:4" x14ac:dyDescent="0.35">
      <c r="A46" t="s">
        <v>4</v>
      </c>
      <c r="B46">
        <v>20</v>
      </c>
      <c r="C46">
        <v>10</v>
      </c>
      <c r="D46">
        <v>1238</v>
      </c>
    </row>
    <row r="47" spans="1:4" x14ac:dyDescent="0.35">
      <c r="A47" t="s">
        <v>4</v>
      </c>
      <c r="B47">
        <v>21</v>
      </c>
      <c r="C47">
        <v>10</v>
      </c>
      <c r="D47">
        <v>1171</v>
      </c>
    </row>
    <row r="48" spans="1:4" x14ac:dyDescent="0.35">
      <c r="A48" t="s">
        <v>4</v>
      </c>
      <c r="B48">
        <v>21</v>
      </c>
      <c r="C48">
        <v>10</v>
      </c>
      <c r="D48">
        <v>1094</v>
      </c>
    </row>
    <row r="49" spans="1:4" x14ac:dyDescent="0.35">
      <c r="A49" t="s">
        <v>4</v>
      </c>
      <c r="B49">
        <v>21</v>
      </c>
      <c r="C49">
        <v>10</v>
      </c>
      <c r="D49">
        <v>1128</v>
      </c>
    </row>
    <row r="50" spans="1:4" x14ac:dyDescent="0.35">
      <c r="A50" t="s">
        <v>4</v>
      </c>
      <c r="B50">
        <v>22</v>
      </c>
      <c r="C50">
        <v>10</v>
      </c>
      <c r="D50">
        <v>1068</v>
      </c>
    </row>
    <row r="51" spans="1:4" x14ac:dyDescent="0.35">
      <c r="A51" t="s">
        <v>4</v>
      </c>
      <c r="B51">
        <v>22</v>
      </c>
      <c r="C51">
        <v>10</v>
      </c>
      <c r="D51">
        <v>1073</v>
      </c>
    </row>
    <row r="52" spans="1:4" x14ac:dyDescent="0.35">
      <c r="A52" t="s">
        <v>4</v>
      </c>
      <c r="B52">
        <v>22</v>
      </c>
      <c r="C52">
        <v>10</v>
      </c>
      <c r="D52">
        <v>1023</v>
      </c>
    </row>
    <row r="53" spans="1:4" x14ac:dyDescent="0.35">
      <c r="A53" t="s">
        <v>4</v>
      </c>
      <c r="B53">
        <v>23</v>
      </c>
      <c r="C53">
        <v>10</v>
      </c>
      <c r="D53">
        <v>937</v>
      </c>
    </row>
    <row r="54" spans="1:4" x14ac:dyDescent="0.35">
      <c r="A54" t="s">
        <v>4</v>
      </c>
      <c r="B54">
        <v>23</v>
      </c>
      <c r="C54">
        <v>10</v>
      </c>
      <c r="D54">
        <v>978</v>
      </c>
    </row>
    <row r="55" spans="1:4" x14ac:dyDescent="0.35">
      <c r="A55" t="s">
        <v>4</v>
      </c>
      <c r="B55">
        <v>23</v>
      </c>
      <c r="C55">
        <v>10</v>
      </c>
      <c r="D55">
        <v>979</v>
      </c>
    </row>
    <row r="56" spans="1:4" x14ac:dyDescent="0.35">
      <c r="A56" t="s">
        <v>4</v>
      </c>
      <c r="B56">
        <v>24</v>
      </c>
      <c r="C56">
        <v>10</v>
      </c>
      <c r="D56">
        <v>891</v>
      </c>
    </row>
    <row r="57" spans="1:4" x14ac:dyDescent="0.35">
      <c r="A57" t="s">
        <v>4</v>
      </c>
      <c r="B57">
        <v>24</v>
      </c>
      <c r="C57">
        <v>10</v>
      </c>
      <c r="D57">
        <v>934</v>
      </c>
    </row>
    <row r="58" spans="1:4" x14ac:dyDescent="0.35">
      <c r="A58" t="s">
        <v>4</v>
      </c>
      <c r="B58">
        <v>24</v>
      </c>
      <c r="C58">
        <v>10</v>
      </c>
      <c r="D58">
        <v>927</v>
      </c>
    </row>
    <row r="59" spans="1:4" x14ac:dyDescent="0.35">
      <c r="A59" t="s">
        <v>4</v>
      </c>
      <c r="B59">
        <v>25</v>
      </c>
      <c r="C59">
        <v>10</v>
      </c>
      <c r="D59">
        <v>760</v>
      </c>
    </row>
    <row r="60" spans="1:4" x14ac:dyDescent="0.35">
      <c r="A60" t="s">
        <v>4</v>
      </c>
      <c r="B60">
        <v>25</v>
      </c>
      <c r="C60">
        <v>10</v>
      </c>
      <c r="D60">
        <v>860</v>
      </c>
    </row>
    <row r="61" spans="1:4" x14ac:dyDescent="0.35">
      <c r="A61" t="s">
        <v>4</v>
      </c>
      <c r="B61">
        <v>25</v>
      </c>
      <c r="C61">
        <v>10</v>
      </c>
      <c r="D61">
        <v>835</v>
      </c>
    </row>
    <row r="62" spans="1:4" x14ac:dyDescent="0.35">
      <c r="A62" t="s">
        <v>4</v>
      </c>
      <c r="B62">
        <v>26</v>
      </c>
      <c r="C62">
        <v>10</v>
      </c>
      <c r="D62">
        <v>770</v>
      </c>
    </row>
    <row r="63" spans="1:4" x14ac:dyDescent="0.35">
      <c r="A63" t="s">
        <v>4</v>
      </c>
      <c r="B63">
        <v>26</v>
      </c>
      <c r="C63">
        <v>10</v>
      </c>
      <c r="D63">
        <v>749</v>
      </c>
    </row>
    <row r="64" spans="1:4" x14ac:dyDescent="0.35">
      <c r="A64" t="s">
        <v>4</v>
      </c>
      <c r="B64">
        <v>26</v>
      </c>
      <c r="C64">
        <v>10</v>
      </c>
      <c r="D64">
        <v>788</v>
      </c>
    </row>
    <row r="65" spans="1:4" x14ac:dyDescent="0.35">
      <c r="A65" t="s">
        <v>4</v>
      </c>
      <c r="B65">
        <v>27</v>
      </c>
      <c r="C65">
        <v>10</v>
      </c>
      <c r="D65">
        <v>698</v>
      </c>
    </row>
    <row r="66" spans="1:4" x14ac:dyDescent="0.35">
      <c r="A66" t="s">
        <v>4</v>
      </c>
      <c r="B66">
        <v>27</v>
      </c>
      <c r="C66">
        <v>10</v>
      </c>
      <c r="D66">
        <v>673</v>
      </c>
    </row>
    <row r="67" spans="1:4" x14ac:dyDescent="0.35">
      <c r="A67" t="s">
        <v>4</v>
      </c>
      <c r="B67">
        <v>27</v>
      </c>
      <c r="C67">
        <v>10</v>
      </c>
      <c r="D67">
        <v>725</v>
      </c>
    </row>
    <row r="68" spans="1:4" x14ac:dyDescent="0.35">
      <c r="A68" t="s">
        <v>4</v>
      </c>
      <c r="B68">
        <v>28</v>
      </c>
      <c r="C68">
        <v>10</v>
      </c>
      <c r="D68">
        <v>631</v>
      </c>
    </row>
    <row r="69" spans="1:4" x14ac:dyDescent="0.35">
      <c r="A69" t="s">
        <v>4</v>
      </c>
      <c r="B69">
        <v>28</v>
      </c>
      <c r="C69">
        <v>10</v>
      </c>
      <c r="D69">
        <v>608</v>
      </c>
    </row>
    <row r="70" spans="1:4" x14ac:dyDescent="0.35">
      <c r="A70" t="s">
        <v>4</v>
      </c>
      <c r="B70">
        <v>28</v>
      </c>
      <c r="C70">
        <v>10</v>
      </c>
      <c r="D70">
        <v>653</v>
      </c>
    </row>
    <row r="71" spans="1:4" x14ac:dyDescent="0.35">
      <c r="A71" t="s">
        <v>4</v>
      </c>
      <c r="B71">
        <v>29</v>
      </c>
      <c r="C71">
        <v>10</v>
      </c>
      <c r="D71">
        <v>625</v>
      </c>
    </row>
    <row r="72" spans="1:4" x14ac:dyDescent="0.35">
      <c r="A72" t="s">
        <v>4</v>
      </c>
      <c r="B72">
        <v>29</v>
      </c>
      <c r="C72">
        <v>10</v>
      </c>
      <c r="D72">
        <v>628</v>
      </c>
    </row>
    <row r="73" spans="1:4" x14ac:dyDescent="0.35">
      <c r="A73" t="s">
        <v>4</v>
      </c>
      <c r="B73">
        <v>29</v>
      </c>
      <c r="C73">
        <v>10</v>
      </c>
      <c r="D73">
        <v>611</v>
      </c>
    </row>
    <row r="74" spans="1:4" x14ac:dyDescent="0.35">
      <c r="A74" t="s">
        <v>4</v>
      </c>
      <c r="B74">
        <v>30</v>
      </c>
      <c r="C74">
        <v>10</v>
      </c>
      <c r="D74">
        <v>595</v>
      </c>
    </row>
    <row r="75" spans="1:4" x14ac:dyDescent="0.35">
      <c r="A75" t="s">
        <v>4</v>
      </c>
      <c r="B75">
        <v>30</v>
      </c>
      <c r="C75">
        <v>10</v>
      </c>
      <c r="D75">
        <v>526</v>
      </c>
    </row>
    <row r="76" spans="1:4" x14ac:dyDescent="0.35">
      <c r="A76" t="s">
        <v>4</v>
      </c>
      <c r="B76">
        <v>30</v>
      </c>
      <c r="C76">
        <v>10</v>
      </c>
      <c r="D76">
        <v>557</v>
      </c>
    </row>
  </sheetData>
  <printOptions gridLines="1"/>
  <pageMargins left="1" right="1" top="1" bottom="1" header="0.5" footer="0.5"/>
  <pageSetup paperSize="9" orientation="portrait" horizontalDpi="0" verticalDpi="0" r:id="rId1"/>
  <drawing r:id="rId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gamma_distance_variation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Pritam Ghosh</dc:creator>
  <cp:lastModifiedBy>Pritam Ghosh</cp:lastModifiedBy>
  <cp:lastPrinted>2024-09-07T22:57:25Z</cp:lastPrinted>
  <dcterms:created xsi:type="dcterms:W3CDTF">2024-09-07T22:31:05Z</dcterms:created>
  <dcterms:modified xsi:type="dcterms:W3CDTF">2024-09-08T21:54:19Z</dcterms:modified>
</cp:coreProperties>
</file>