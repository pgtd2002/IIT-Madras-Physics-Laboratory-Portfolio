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pgtd2\Desktop\Lab Sem 1\VL1\Excel files\"/>
    </mc:Choice>
  </mc:AlternateContent>
  <xr:revisionPtr revIDLastSave="0" documentId="13_ncr:1_{616C6E97-C720-4B48-85C4-AB5F5983C1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E2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H2" i="1" l="1"/>
  <c r="H24" i="1"/>
  <c r="H18" i="1"/>
  <c r="H12" i="1"/>
  <c r="H6" i="1"/>
  <c r="H5" i="1"/>
  <c r="H26" i="1"/>
  <c r="H20" i="1"/>
  <c r="H14" i="1"/>
  <c r="H8" i="1"/>
  <c r="H25" i="1"/>
  <c r="H19" i="1"/>
  <c r="H13" i="1"/>
  <c r="H7" i="1"/>
  <c r="H23" i="1"/>
  <c r="H17" i="1"/>
  <c r="H11" i="1"/>
  <c r="H22" i="1"/>
  <c r="H16" i="1"/>
  <c r="H10" i="1"/>
  <c r="H4" i="1"/>
  <c r="H21" i="1"/>
  <c r="H15" i="1"/>
  <c r="H9" i="1"/>
  <c r="H3" i="1"/>
</calcChain>
</file>

<file path=xl/sharedStrings.xml><?xml version="1.0" encoding="utf-8"?>
<sst xmlns="http://schemas.openxmlformats.org/spreadsheetml/2006/main" count="83" uniqueCount="9">
  <si>
    <t>Am-242</t>
  </si>
  <si>
    <t>distance</t>
  </si>
  <si>
    <t>Counts</t>
  </si>
  <si>
    <t>Average Count</t>
  </si>
  <si>
    <t>Distance</t>
  </si>
  <si>
    <t>error</t>
  </si>
  <si>
    <t>percentage error</t>
  </si>
  <si>
    <t>Exposure(s)</t>
  </si>
  <si>
    <t>Isotope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</si>
</sst>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Distance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Sheet1!$F$2:$F$26</c:f>
              <c:numCache>
                <c:formatCode>General</c:formatCode>
                <c:ptCount val="2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</c:numCache>
            </c:numRef>
          </c:xVal>
          <c:yVal>
            <c:numRef>
              <c:f>Sheet1!$E$2:$E$26</c:f>
              <c:numCache>
                <c:formatCode>0.00</c:formatCode>
                <c:ptCount val="25"/>
                <c:pt idx="0">
                  <c:v>73600</c:v>
                </c:pt>
                <c:pt idx="1">
                  <c:v>67063.333333333328</c:v>
                </c:pt>
                <c:pt idx="2">
                  <c:v>23848.666666666668</c:v>
                </c:pt>
                <c:pt idx="3">
                  <c:v>13.333333333333334</c:v>
                </c:pt>
                <c:pt idx="4">
                  <c:v>13</c:v>
                </c:pt>
                <c:pt idx="5">
                  <c:v>13</c:v>
                </c:pt>
                <c:pt idx="6">
                  <c:v>14.333333333333334</c:v>
                </c:pt>
                <c:pt idx="7">
                  <c:v>12.666666666666666</c:v>
                </c:pt>
                <c:pt idx="8">
                  <c:v>14</c:v>
                </c:pt>
                <c:pt idx="9">
                  <c:v>9</c:v>
                </c:pt>
                <c:pt idx="10">
                  <c:v>12.666666666666666</c:v>
                </c:pt>
                <c:pt idx="11">
                  <c:v>13.333333333333334</c:v>
                </c:pt>
                <c:pt idx="12">
                  <c:v>13</c:v>
                </c:pt>
                <c:pt idx="13">
                  <c:v>11</c:v>
                </c:pt>
                <c:pt idx="14">
                  <c:v>9.6666666666666661</c:v>
                </c:pt>
                <c:pt idx="15">
                  <c:v>8.3333333333333339</c:v>
                </c:pt>
                <c:pt idx="16">
                  <c:v>8.6666666666666661</c:v>
                </c:pt>
                <c:pt idx="17">
                  <c:v>9.6666666666666661</c:v>
                </c:pt>
                <c:pt idx="18">
                  <c:v>13.333333333333334</c:v>
                </c:pt>
                <c:pt idx="19">
                  <c:v>9</c:v>
                </c:pt>
                <c:pt idx="20">
                  <c:v>13.666666666666666</c:v>
                </c:pt>
                <c:pt idx="21">
                  <c:v>13.333333333333334</c:v>
                </c:pt>
                <c:pt idx="22">
                  <c:v>10</c:v>
                </c:pt>
                <c:pt idx="23">
                  <c:v>11.666666666666666</c:v>
                </c:pt>
                <c:pt idx="24">
                  <c:v>13.333333333333334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12-4B51-AB78-7D657F8E5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239167"/>
        <c:axId val="1629241087"/>
      </c:scatterChart>
      <c:valAx>
        <c:axId val="1629239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241087"/>
        <c:crosses val="autoZero"/>
        <c:crossBetween val="midCat"/>
      </c:valAx>
      <c:valAx>
        <c:axId val="162924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Counts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239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percentage error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Sheet1!$F$2:$F$76</c:f>
              <c:numCache>
                <c:formatCode>General</c:formatCode>
                <c:ptCount val="7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</c:numCache>
            </c:numRef>
          </c:xVal>
          <c:yVal>
            <c:numRef>
              <c:f>Sheet1!$H$2:$H$76</c:f>
              <c:numCache>
                <c:formatCode>0.00</c:formatCode>
                <c:ptCount val="75"/>
                <c:pt idx="0">
                  <c:v>9.7734835661417746E-2</c:v>
                </c:pt>
                <c:pt idx="1">
                  <c:v>0.26112671026576517</c:v>
                </c:pt>
                <c:pt idx="2">
                  <c:v>0.46035989974972952</c:v>
                </c:pt>
                <c:pt idx="3">
                  <c:v>15.206906325745537</c:v>
                </c:pt>
                <c:pt idx="4">
                  <c:v>20.351933162035316</c:v>
                </c:pt>
                <c:pt idx="5">
                  <c:v>17.764623667373101</c:v>
                </c:pt>
                <c:pt idx="6">
                  <c:v>10.136974287303877</c:v>
                </c:pt>
                <c:pt idx="7">
                  <c:v>20.553288620806992</c:v>
                </c:pt>
                <c:pt idx="8">
                  <c:v>22.96107324045942</c:v>
                </c:pt>
                <c:pt idx="9">
                  <c:v>6.4150029909958421</c:v>
                </c:pt>
                <c:pt idx="10">
                  <c:v>10.526315789473694</c:v>
                </c:pt>
                <c:pt idx="11">
                  <c:v>18.027756377319939</c:v>
                </c:pt>
                <c:pt idx="12">
                  <c:v>4.4411559168432753</c:v>
                </c:pt>
                <c:pt idx="13">
                  <c:v>13.886593015017697</c:v>
                </c:pt>
                <c:pt idx="14">
                  <c:v>12.43293543263446</c:v>
                </c:pt>
                <c:pt idx="15">
                  <c:v>21.166010488516719</c:v>
                </c:pt>
                <c:pt idx="16">
                  <c:v>3.8461538461538458</c:v>
                </c:pt>
                <c:pt idx="17">
                  <c:v>9.1232803829813669</c:v>
                </c:pt>
                <c:pt idx="18">
                  <c:v>13.228756555322942</c:v>
                </c:pt>
                <c:pt idx="19">
                  <c:v>0</c:v>
                </c:pt>
                <c:pt idx="20">
                  <c:v>19.512195121951212</c:v>
                </c:pt>
                <c:pt idx="21">
                  <c:v>6.6143782776614772</c:v>
                </c:pt>
                <c:pt idx="22">
                  <c:v>20.816659994661329</c:v>
                </c:pt>
                <c:pt idx="23">
                  <c:v>5.7142857142857153</c:v>
                </c:pt>
                <c:pt idx="24">
                  <c:v>12.499999999999986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54-4F58-880B-E7E2919FD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63103"/>
        <c:axId val="156967423"/>
      </c:scatterChart>
      <c:valAx>
        <c:axId val="15696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67423"/>
        <c:crosses val="autoZero"/>
        <c:crossBetween val="midCat"/>
      </c:valAx>
      <c:valAx>
        <c:axId val="15696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6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174625</xdr:colOff>
      <xdr:row>2</xdr:row>
      <xdr:rowOff>120650</xdr:rowOff>
    </xdr:from>
    <xdr:to>
      <xdr:col>15</xdr:col>
      <xdr:colOff>479425</xdr:colOff>
      <xdr:row>17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9B8B35-B3FF-FCA6-A191-C5FB93AD8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174625</xdr:colOff>
      <xdr:row>17</xdr:row>
      <xdr:rowOff>114300</xdr:rowOff>
    </xdr:from>
    <xdr:to>
      <xdr:col>15</xdr:col>
      <xdr:colOff>479425</xdr:colOff>
      <xdr:row>32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7C2E6E-1B0D-B7E9-A9E6-31F8E79C2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topLeftCell="G24" zoomScale="133" workbookViewId="0">
      <selection activeCell="O77" sqref="O77"/>
    </sheetView>
  </sheetViews>
  <sheetFormatPr defaultRowHeight="14.5" x14ac:dyDescent="0.35"/>
  <cols>
    <col min="3" max="3" width="10.7265625" customWidth="1"/>
    <col min="5" max="5" width="13.90625" style="1" customWidth="1"/>
    <col min="7" max="7" width="8.7265625" style="1"/>
    <col min="8" max="8" width="15.26953125" style="1" customWidth="1"/>
  </cols>
  <sheetData>
    <row r="1" spans="1:8" x14ac:dyDescent="0.35">
      <c r="A1" t="s">
        <v>8</v>
      </c>
      <c r="B1" t="s">
        <v>1</v>
      </c>
      <c r="C1" t="s">
        <v>7</v>
      </c>
      <c r="D1" t="s">
        <v>2</v>
      </c>
      <c r="E1" s="1" t="s">
        <v>3</v>
      </c>
      <c r="F1" t="s">
        <v>4</v>
      </c>
      <c r="G1" s="1" t="s">
        <v>5</v>
      </c>
      <c r="H1" s="1" t="s">
        <v>6</v>
      </c>
    </row>
    <row r="2" spans="1:8" x14ac:dyDescent="0.35">
      <c r="A2" t="s">
        <v>0</v>
      </c>
      <c r="B2">
        <v>6</v>
      </c>
      <c r="C2">
        <v>10</v>
      </c>
      <c r="D2">
        <v>73731</v>
      </c>
      <c r="E2" s="1">
        <f ca="1">AVERAGE(OFFSET($D$2, (ROW()-ROW($C$2))*3, 0, 3, 1))</f>
        <v>73600</v>
      </c>
      <c r="F2">
        <f ca="1">AVERAGE(OFFSET($B$2, (ROW()-ROW($D$2))*3, 0, 3, 1))</f>
        <v>6</v>
      </c>
      <c r="G2" s="1">
        <f ca="1">_xlfn.STDEV.S(OFFSET($D$2, (ROW()-ROW($C$2))*3, 0, 3, 1))/SQRT(3)</f>
        <v>71.932839046803466</v>
      </c>
      <c r="H2" s="1">
        <f ca="1">G2*100/E2</f>
        <v>9.7734835661417746E-2</v>
      </c>
    </row>
    <row r="3" spans="1:8" x14ac:dyDescent="0.35">
      <c r="A3" t="s">
        <v>0</v>
      </c>
      <c r="B3">
        <v>6</v>
      </c>
      <c r="C3">
        <v>10</v>
      </c>
      <c r="D3">
        <v>73483</v>
      </c>
      <c r="E3" s="1">
        <f ca="1">AVERAGE(OFFSET($D$2, (ROW()-ROW($C$2))*3, 0, 3, 1))</f>
        <v>67063.333333333328</v>
      </c>
      <c r="F3">
        <f ca="1">AVERAGE(OFFSET($B$2, (ROW()-ROW($D$2))*3, 0, 3, 1))</f>
        <v>7</v>
      </c>
      <c r="G3" s="1">
        <f ca="1">_xlfn.STDEV.S(OFFSET($D$2, (ROW()-ROW($C$2))*3, 0, 3, 1))/SQRT(3)</f>
        <v>175.12027612789763</v>
      </c>
      <c r="H3" s="1">
        <f t="shared" ref="H3:H26" ca="1" si="0">G3*100/E3</f>
        <v>0.26112671026576517</v>
      </c>
    </row>
    <row r="4" spans="1:8" x14ac:dyDescent="0.35">
      <c r="A4" t="s">
        <v>0</v>
      </c>
      <c r="B4">
        <v>6</v>
      </c>
      <c r="C4">
        <v>10</v>
      </c>
      <c r="D4">
        <v>73586</v>
      </c>
      <c r="E4" s="1">
        <f ca="1">AVERAGE(OFFSET($D$2, (ROW()-ROW($C$2))*3, 0, 3, 1))</f>
        <v>23848.666666666668</v>
      </c>
      <c r="F4">
        <f ca="1">AVERAGE(OFFSET($B$2, (ROW()-ROW($D$2))*3, 0, 3, 1))</f>
        <v>8</v>
      </c>
      <c r="G4" s="1">
        <f ca="1">_xlfn.STDEV.S(OFFSET($D$2, (ROW()-ROW($C$2))*3, 0, 3, 1))/SQRT(3)</f>
        <v>109.78969795831382</v>
      </c>
      <c r="H4" s="1">
        <f t="shared" ca="1" si="0"/>
        <v>0.46035989974972952</v>
      </c>
    </row>
    <row r="5" spans="1:8" x14ac:dyDescent="0.35">
      <c r="A5" t="s">
        <v>0</v>
      </c>
      <c r="B5">
        <v>7</v>
      </c>
      <c r="C5">
        <v>10</v>
      </c>
      <c r="D5">
        <v>67198</v>
      </c>
      <c r="E5" s="1">
        <f ca="1">AVERAGE(OFFSET($D$2, (ROW()-ROW($C$2))*3, 0, 3, 1))</f>
        <v>13.333333333333334</v>
      </c>
      <c r="F5">
        <f ca="1">AVERAGE(OFFSET($B$2, (ROW()-ROW($D$2))*3, 0, 3, 1))</f>
        <v>9</v>
      </c>
      <c r="G5" s="1">
        <f ca="1">_xlfn.STDEV.S(OFFSET($D$2, (ROW()-ROW($C$2))*3, 0, 3, 1))/SQRT(3)</f>
        <v>2.027587510099405</v>
      </c>
      <c r="H5" s="1">
        <f t="shared" ca="1" si="0"/>
        <v>15.206906325745537</v>
      </c>
    </row>
    <row r="6" spans="1:8" x14ac:dyDescent="0.35">
      <c r="A6" t="s">
        <v>0</v>
      </c>
      <c r="B6">
        <v>7</v>
      </c>
      <c r="C6">
        <v>10</v>
      </c>
      <c r="D6">
        <v>66716</v>
      </c>
      <c r="E6" s="1">
        <f ca="1">AVERAGE(OFFSET($D$2, (ROW()-ROW($C$2))*3, 0, 3, 1))</f>
        <v>13</v>
      </c>
      <c r="F6">
        <f ca="1">AVERAGE(OFFSET($B$2, (ROW()-ROW($D$2))*3, 0, 3, 1))</f>
        <v>10</v>
      </c>
      <c r="G6" s="1">
        <f ca="1">_xlfn.STDEV.S(OFFSET($D$2, (ROW()-ROW($C$2))*3, 0, 3, 1))/SQRT(3)</f>
        <v>2.6457513110645907</v>
      </c>
      <c r="H6" s="1">
        <f t="shared" ca="1" si="0"/>
        <v>20.351933162035316</v>
      </c>
    </row>
    <row r="7" spans="1:8" x14ac:dyDescent="0.35">
      <c r="A7" t="s">
        <v>0</v>
      </c>
      <c r="B7">
        <v>7</v>
      </c>
      <c r="C7">
        <v>10</v>
      </c>
      <c r="D7">
        <v>67276</v>
      </c>
      <c r="E7" s="1">
        <f ca="1">AVERAGE(OFFSET($D$2, (ROW()-ROW($C$2))*3, 0, 3, 1))</f>
        <v>13</v>
      </c>
      <c r="F7">
        <f ca="1">AVERAGE(OFFSET($B$2, (ROW()-ROW($D$2))*3, 0, 3, 1))</f>
        <v>11</v>
      </c>
      <c r="G7" s="1">
        <f ca="1">_xlfn.STDEV.S(OFFSET($D$2, (ROW()-ROW($C$2))*3, 0, 3, 1))/SQRT(3)</f>
        <v>2.3094010767585034</v>
      </c>
      <c r="H7" s="1">
        <f t="shared" ca="1" si="0"/>
        <v>17.764623667373101</v>
      </c>
    </row>
    <row r="8" spans="1:8" x14ac:dyDescent="0.35">
      <c r="A8" t="s">
        <v>0</v>
      </c>
      <c r="B8">
        <v>8</v>
      </c>
      <c r="C8">
        <v>10</v>
      </c>
      <c r="D8">
        <v>23634</v>
      </c>
      <c r="E8" s="1">
        <f ca="1">AVERAGE(OFFSET($D$2, (ROW()-ROW($C$2))*3, 0, 3, 1))</f>
        <v>14.333333333333334</v>
      </c>
      <c r="F8">
        <f ca="1">AVERAGE(OFFSET($B$2, (ROW()-ROW($D$2))*3, 0, 3, 1))</f>
        <v>12</v>
      </c>
      <c r="G8" s="1">
        <f ca="1">_xlfn.STDEV.S(OFFSET($D$2, (ROW()-ROW($C$2))*3, 0, 3, 1))/SQRT(3)</f>
        <v>1.4529663145135558</v>
      </c>
      <c r="H8" s="1">
        <f t="shared" ca="1" si="0"/>
        <v>10.136974287303877</v>
      </c>
    </row>
    <row r="9" spans="1:8" x14ac:dyDescent="0.35">
      <c r="A9" t="s">
        <v>0</v>
      </c>
      <c r="B9">
        <v>8</v>
      </c>
      <c r="C9">
        <v>10</v>
      </c>
      <c r="D9">
        <v>23916</v>
      </c>
      <c r="E9" s="1">
        <f ca="1">AVERAGE(OFFSET($D$2, (ROW()-ROW($C$2))*3, 0, 3, 1))</f>
        <v>12.666666666666666</v>
      </c>
      <c r="F9">
        <f ca="1">AVERAGE(OFFSET($B$2, (ROW()-ROW($D$2))*3, 0, 3, 1))</f>
        <v>13</v>
      </c>
      <c r="G9" s="1">
        <f ca="1">_xlfn.STDEV.S(OFFSET($D$2, (ROW()-ROW($C$2))*3, 0, 3, 1))/SQRT(3)</f>
        <v>2.6034165586355522</v>
      </c>
      <c r="H9" s="1">
        <f t="shared" ca="1" si="0"/>
        <v>20.553288620806992</v>
      </c>
    </row>
    <row r="10" spans="1:8" x14ac:dyDescent="0.35">
      <c r="A10" t="s">
        <v>0</v>
      </c>
      <c r="B10">
        <v>8</v>
      </c>
      <c r="C10">
        <v>10</v>
      </c>
      <c r="D10">
        <v>23996</v>
      </c>
      <c r="E10" s="1">
        <f ca="1">AVERAGE(OFFSET($D$2, (ROW()-ROW($C$2))*3, 0, 3, 1))</f>
        <v>14</v>
      </c>
      <c r="F10">
        <f ca="1">AVERAGE(OFFSET($B$2, (ROW()-ROW($D$2))*3, 0, 3, 1))</f>
        <v>14</v>
      </c>
      <c r="G10" s="1">
        <f ca="1">_xlfn.STDEV.S(OFFSET($D$2, (ROW()-ROW($C$2))*3, 0, 3, 1))/SQRT(3)</f>
        <v>3.2145502536643185</v>
      </c>
      <c r="H10" s="1">
        <f t="shared" ca="1" si="0"/>
        <v>22.96107324045942</v>
      </c>
    </row>
    <row r="11" spans="1:8" x14ac:dyDescent="0.35">
      <c r="A11" t="s">
        <v>0</v>
      </c>
      <c r="B11">
        <v>9</v>
      </c>
      <c r="C11">
        <v>10</v>
      </c>
      <c r="D11">
        <v>17</v>
      </c>
      <c r="E11" s="1">
        <f ca="1">AVERAGE(OFFSET($D$2, (ROW()-ROW($C$2))*3, 0, 3, 1))</f>
        <v>9</v>
      </c>
      <c r="F11">
        <f ca="1">AVERAGE(OFFSET($B$2, (ROW()-ROW($D$2))*3, 0, 3, 1))</f>
        <v>15</v>
      </c>
      <c r="G11" s="1">
        <f ca="1">_xlfn.STDEV.S(OFFSET($D$2, (ROW()-ROW($C$2))*3, 0, 3, 1))/SQRT(3)</f>
        <v>0.57735026918962584</v>
      </c>
      <c r="H11" s="1">
        <f t="shared" ca="1" si="0"/>
        <v>6.4150029909958421</v>
      </c>
    </row>
    <row r="12" spans="1:8" x14ac:dyDescent="0.35">
      <c r="A12" t="s">
        <v>0</v>
      </c>
      <c r="B12">
        <v>9</v>
      </c>
      <c r="C12">
        <v>10</v>
      </c>
      <c r="D12">
        <v>10</v>
      </c>
      <c r="E12" s="1">
        <f ca="1">AVERAGE(OFFSET($D$2, (ROW()-ROW($C$2))*3, 0, 3, 1))</f>
        <v>12.666666666666666</v>
      </c>
      <c r="F12">
        <f ca="1">AVERAGE(OFFSET($B$2, (ROW()-ROW($D$2))*3, 0, 3, 1))</f>
        <v>16</v>
      </c>
      <c r="G12" s="1">
        <f ca="1">_xlfn.STDEV.S(OFFSET($D$2, (ROW()-ROW($C$2))*3, 0, 3, 1))/SQRT(3)</f>
        <v>1.3333333333333346</v>
      </c>
      <c r="H12" s="1">
        <f t="shared" ca="1" si="0"/>
        <v>10.526315789473694</v>
      </c>
    </row>
    <row r="13" spans="1:8" x14ac:dyDescent="0.35">
      <c r="A13" t="s">
        <v>0</v>
      </c>
      <c r="B13">
        <v>9</v>
      </c>
      <c r="C13">
        <v>10</v>
      </c>
      <c r="D13">
        <v>13</v>
      </c>
      <c r="E13" s="1">
        <f ca="1">AVERAGE(OFFSET($D$2, (ROW()-ROW($C$2))*3, 0, 3, 1))</f>
        <v>13.333333333333334</v>
      </c>
      <c r="F13">
        <f ca="1">AVERAGE(OFFSET($B$2, (ROW()-ROW($D$2))*3, 0, 3, 1))</f>
        <v>17</v>
      </c>
      <c r="G13" s="1">
        <f ca="1">_xlfn.STDEV.S(OFFSET($D$2, (ROW()-ROW($C$2))*3, 0, 3, 1))/SQRT(3)</f>
        <v>2.4037008503093253</v>
      </c>
      <c r="H13" s="1">
        <f t="shared" ca="1" si="0"/>
        <v>18.027756377319939</v>
      </c>
    </row>
    <row r="14" spans="1:8" x14ac:dyDescent="0.35">
      <c r="A14" t="s">
        <v>0</v>
      </c>
      <c r="B14">
        <v>10</v>
      </c>
      <c r="C14">
        <v>10</v>
      </c>
      <c r="D14">
        <v>17</v>
      </c>
      <c r="E14" s="1">
        <f ca="1">AVERAGE(OFFSET($D$2, (ROW()-ROW($C$2))*3, 0, 3, 1))</f>
        <v>13</v>
      </c>
      <c r="F14">
        <f ca="1">AVERAGE(OFFSET($B$2, (ROW()-ROW($D$2))*3, 0, 3, 1))</f>
        <v>18</v>
      </c>
      <c r="G14" s="1">
        <f ca="1">_xlfn.STDEV.S(OFFSET($D$2, (ROW()-ROW($C$2))*3, 0, 3, 1))/SQRT(3)</f>
        <v>0.57735026918962584</v>
      </c>
      <c r="H14" s="1">
        <f t="shared" ca="1" si="0"/>
        <v>4.4411559168432753</v>
      </c>
    </row>
    <row r="15" spans="1:8" x14ac:dyDescent="0.35">
      <c r="A15" t="s">
        <v>0</v>
      </c>
      <c r="B15">
        <v>10</v>
      </c>
      <c r="C15">
        <v>10</v>
      </c>
      <c r="D15">
        <v>8</v>
      </c>
      <c r="E15" s="1">
        <f ca="1">AVERAGE(OFFSET($D$2, (ROW()-ROW($C$2))*3, 0, 3, 1))</f>
        <v>11</v>
      </c>
      <c r="F15">
        <f ca="1">AVERAGE(OFFSET($B$2, (ROW()-ROW($D$2))*3, 0, 3, 1))</f>
        <v>19</v>
      </c>
      <c r="G15" s="1">
        <f ca="1">_xlfn.STDEV.S(OFFSET($D$2, (ROW()-ROW($C$2))*3, 0, 3, 1))/SQRT(3)</f>
        <v>1.5275252316519468</v>
      </c>
      <c r="H15" s="1">
        <f t="shared" ca="1" si="0"/>
        <v>13.886593015017697</v>
      </c>
    </row>
    <row r="16" spans="1:8" x14ac:dyDescent="0.35">
      <c r="A16" t="s">
        <v>0</v>
      </c>
      <c r="B16">
        <v>10</v>
      </c>
      <c r="C16">
        <v>10</v>
      </c>
      <c r="D16">
        <v>14</v>
      </c>
      <c r="E16" s="1">
        <f ca="1">AVERAGE(OFFSET($D$2, (ROW()-ROW($C$2))*3, 0, 3, 1))</f>
        <v>9.6666666666666661</v>
      </c>
      <c r="F16">
        <f ca="1">AVERAGE(OFFSET($B$2, (ROW()-ROW($D$2))*3, 0, 3, 1))</f>
        <v>20</v>
      </c>
      <c r="G16" s="1">
        <f ca="1">_xlfn.STDEV.S(OFFSET($D$2, (ROW()-ROW($C$2))*3, 0, 3, 1))/SQRT(3)</f>
        <v>1.2018504251546644</v>
      </c>
      <c r="H16" s="1">
        <f t="shared" ca="1" si="0"/>
        <v>12.43293543263446</v>
      </c>
    </row>
    <row r="17" spans="1:8" x14ac:dyDescent="0.35">
      <c r="A17" t="s">
        <v>0</v>
      </c>
      <c r="B17">
        <v>11</v>
      </c>
      <c r="C17">
        <v>10</v>
      </c>
      <c r="D17">
        <v>17</v>
      </c>
      <c r="E17" s="1">
        <f ca="1">AVERAGE(OFFSET($D$2, (ROW()-ROW($C$2))*3, 0, 3, 1))</f>
        <v>8.3333333333333339</v>
      </c>
      <c r="F17">
        <f ca="1">AVERAGE(OFFSET($B$2, (ROW()-ROW($D$2))*3, 0, 3, 1))</f>
        <v>21</v>
      </c>
      <c r="G17" s="1">
        <f ca="1">_xlfn.STDEV.S(OFFSET($D$2, (ROW()-ROW($C$2))*3, 0, 3, 1))/SQRT(3)</f>
        <v>1.7638342073763935</v>
      </c>
      <c r="H17" s="1">
        <f t="shared" ca="1" si="0"/>
        <v>21.166010488516719</v>
      </c>
    </row>
    <row r="18" spans="1:8" x14ac:dyDescent="0.35">
      <c r="A18" t="s">
        <v>0</v>
      </c>
      <c r="B18">
        <v>11</v>
      </c>
      <c r="C18">
        <v>10</v>
      </c>
      <c r="D18">
        <v>9</v>
      </c>
      <c r="E18" s="1">
        <f ca="1">AVERAGE(OFFSET($D$2, (ROW()-ROW($C$2))*3, 0, 3, 1))</f>
        <v>8.6666666666666661</v>
      </c>
      <c r="F18">
        <f ca="1">AVERAGE(OFFSET($B$2, (ROW()-ROW($D$2))*3, 0, 3, 1))</f>
        <v>22</v>
      </c>
      <c r="G18" s="1">
        <f ca="1">_xlfn.STDEV.S(OFFSET($D$2, (ROW()-ROW($C$2))*3, 0, 3, 1))/SQRT(3)</f>
        <v>0.33333333333333331</v>
      </c>
      <c r="H18" s="1">
        <f t="shared" ca="1" si="0"/>
        <v>3.8461538461538458</v>
      </c>
    </row>
    <row r="19" spans="1:8" x14ac:dyDescent="0.35">
      <c r="A19" t="s">
        <v>0</v>
      </c>
      <c r="B19">
        <v>11</v>
      </c>
      <c r="C19">
        <v>10</v>
      </c>
      <c r="D19">
        <v>13</v>
      </c>
      <c r="E19" s="1">
        <f ca="1">AVERAGE(OFFSET($D$2, (ROW()-ROW($C$2))*3, 0, 3, 1))</f>
        <v>9.6666666666666661</v>
      </c>
      <c r="F19">
        <f ca="1">AVERAGE(OFFSET($B$2, (ROW()-ROW($D$2))*3, 0, 3, 1))</f>
        <v>23</v>
      </c>
      <c r="G19" s="1">
        <f ca="1">_xlfn.STDEV.S(OFFSET($D$2, (ROW()-ROW($C$2))*3, 0, 3, 1))/SQRT(3)</f>
        <v>0.88191710368819876</v>
      </c>
      <c r="H19" s="1">
        <f t="shared" ca="1" si="0"/>
        <v>9.1232803829813669</v>
      </c>
    </row>
    <row r="20" spans="1:8" x14ac:dyDescent="0.35">
      <c r="A20" t="s">
        <v>0</v>
      </c>
      <c r="B20">
        <v>12</v>
      </c>
      <c r="C20">
        <v>10</v>
      </c>
      <c r="D20">
        <v>14</v>
      </c>
      <c r="E20" s="1">
        <f ca="1">AVERAGE(OFFSET($D$2, (ROW()-ROW($C$2))*3, 0, 3, 1))</f>
        <v>13.333333333333334</v>
      </c>
      <c r="F20">
        <f ca="1">AVERAGE(OFFSET($B$2, (ROW()-ROW($D$2))*3, 0, 3, 1))</f>
        <v>24</v>
      </c>
      <c r="G20" s="1">
        <f ca="1">_xlfn.STDEV.S(OFFSET($D$2, (ROW()-ROW($C$2))*3, 0, 3, 1))/SQRT(3)</f>
        <v>1.7638342073763922</v>
      </c>
      <c r="H20" s="1">
        <f t="shared" ca="1" si="0"/>
        <v>13.228756555322942</v>
      </c>
    </row>
    <row r="21" spans="1:8" x14ac:dyDescent="0.35">
      <c r="A21" t="s">
        <v>0</v>
      </c>
      <c r="B21">
        <v>12</v>
      </c>
      <c r="C21">
        <v>10</v>
      </c>
      <c r="D21">
        <v>17</v>
      </c>
      <c r="E21" s="1">
        <f ca="1">AVERAGE(OFFSET($D$2, (ROW()-ROW($C$2))*3, 0, 3, 1))</f>
        <v>9</v>
      </c>
      <c r="F21">
        <f ca="1">AVERAGE(OFFSET($B$2, (ROW()-ROW($D$2))*3, 0, 3, 1))</f>
        <v>25</v>
      </c>
      <c r="G21" s="1">
        <f ca="1">_xlfn.STDEV.S(OFFSET($D$2, (ROW()-ROW($C$2))*3, 0, 3, 1))/SQRT(3)</f>
        <v>0</v>
      </c>
      <c r="H21" s="1">
        <f t="shared" ca="1" si="0"/>
        <v>0</v>
      </c>
    </row>
    <row r="22" spans="1:8" x14ac:dyDescent="0.35">
      <c r="A22" t="s">
        <v>0</v>
      </c>
      <c r="B22">
        <v>12</v>
      </c>
      <c r="C22">
        <v>10</v>
      </c>
      <c r="D22">
        <v>12</v>
      </c>
      <c r="E22" s="1">
        <f ca="1">AVERAGE(OFFSET($D$2, (ROW()-ROW($C$2))*3, 0, 3, 1))</f>
        <v>13.666666666666666</v>
      </c>
      <c r="F22">
        <f ca="1">AVERAGE(OFFSET($B$2, (ROW()-ROW($D$2))*3, 0, 3, 1))</f>
        <v>26</v>
      </c>
      <c r="G22" s="1">
        <f ca="1">_xlfn.STDEV.S(OFFSET($D$2, (ROW()-ROW($C$2))*3, 0, 3, 1))/SQRT(3)</f>
        <v>2.6666666666666656</v>
      </c>
      <c r="H22" s="1">
        <f t="shared" ca="1" si="0"/>
        <v>19.512195121951212</v>
      </c>
    </row>
    <row r="23" spans="1:8" x14ac:dyDescent="0.35">
      <c r="A23" t="s">
        <v>0</v>
      </c>
      <c r="B23">
        <v>13</v>
      </c>
      <c r="C23">
        <v>10</v>
      </c>
      <c r="D23">
        <v>17</v>
      </c>
      <c r="E23" s="1">
        <f ca="1">AVERAGE(OFFSET($D$2, (ROW()-ROW($C$2))*3, 0, 3, 1))</f>
        <v>13.333333333333334</v>
      </c>
      <c r="F23">
        <f ca="1">AVERAGE(OFFSET($B$2, (ROW()-ROW($D$2))*3, 0, 3, 1))</f>
        <v>27</v>
      </c>
      <c r="G23" s="1">
        <f ca="1">_xlfn.STDEV.S(OFFSET($D$2, (ROW()-ROW($C$2))*3, 0, 3, 1))/SQRT(3)</f>
        <v>0.88191710368819698</v>
      </c>
      <c r="H23" s="1">
        <f t="shared" ca="1" si="0"/>
        <v>6.6143782776614772</v>
      </c>
    </row>
    <row r="24" spans="1:8" x14ac:dyDescent="0.35">
      <c r="A24" t="s">
        <v>0</v>
      </c>
      <c r="B24">
        <v>13</v>
      </c>
      <c r="C24">
        <v>10</v>
      </c>
      <c r="D24">
        <v>13</v>
      </c>
      <c r="E24" s="1">
        <f ca="1">AVERAGE(OFFSET($D$2, (ROW()-ROW($C$2))*3, 0, 3, 1))</f>
        <v>10</v>
      </c>
      <c r="F24">
        <f ca="1">AVERAGE(OFFSET($B$2, (ROW()-ROW($D$2))*3, 0, 3, 1))</f>
        <v>28</v>
      </c>
      <c r="G24" s="1">
        <f ca="1">_xlfn.STDEV.S(OFFSET($D$2, (ROW()-ROW($C$2))*3, 0, 3, 1))/SQRT(3)</f>
        <v>2.0816659994661326</v>
      </c>
      <c r="H24" s="1">
        <f t="shared" ca="1" si="0"/>
        <v>20.816659994661329</v>
      </c>
    </row>
    <row r="25" spans="1:8" x14ac:dyDescent="0.35">
      <c r="A25" t="s">
        <v>0</v>
      </c>
      <c r="B25">
        <v>13</v>
      </c>
      <c r="C25">
        <v>10</v>
      </c>
      <c r="D25">
        <v>8</v>
      </c>
      <c r="E25" s="1">
        <f ca="1">AVERAGE(OFFSET($D$2, (ROW()-ROW($C$2))*3, 0, 3, 1))</f>
        <v>11.666666666666666</v>
      </c>
      <c r="F25">
        <f ca="1">AVERAGE(OFFSET($B$2, (ROW()-ROW($D$2))*3, 0, 3, 1))</f>
        <v>29</v>
      </c>
      <c r="G25" s="1">
        <f ca="1">_xlfn.STDEV.S(OFFSET($D$2, (ROW()-ROW($C$2))*3, 0, 3, 1))/SQRT(3)</f>
        <v>0.66666666666666674</v>
      </c>
      <c r="H25" s="1">
        <f t="shared" ca="1" si="0"/>
        <v>5.7142857142857153</v>
      </c>
    </row>
    <row r="26" spans="1:8" x14ac:dyDescent="0.35">
      <c r="A26" t="s">
        <v>0</v>
      </c>
      <c r="B26">
        <v>14</v>
      </c>
      <c r="C26">
        <v>10</v>
      </c>
      <c r="D26">
        <v>20</v>
      </c>
      <c r="E26" s="1">
        <f ca="1">AVERAGE(OFFSET($D$2, (ROW()-ROW($C$2))*3, 0, 3, 1))</f>
        <v>13.333333333333334</v>
      </c>
      <c r="F26">
        <f ca="1">AVERAGE(OFFSET($B$2, (ROW()-ROW($D$2))*3, 0, 3, 1))</f>
        <v>30</v>
      </c>
      <c r="G26" s="1">
        <f ca="1">_xlfn.STDEV.S(OFFSET($D$2, (ROW()-ROW($C$2))*3, 0, 3, 1))/SQRT(3)</f>
        <v>1.666666666666665</v>
      </c>
      <c r="H26" s="1">
        <f t="shared" ca="1" si="0"/>
        <v>12.499999999999986</v>
      </c>
    </row>
    <row r="27" spans="1:8" x14ac:dyDescent="0.35">
      <c r="A27" t="s">
        <v>0</v>
      </c>
      <c r="B27">
        <v>14</v>
      </c>
      <c r="C27">
        <v>10</v>
      </c>
      <c r="D27">
        <v>9</v>
      </c>
    </row>
    <row r="28" spans="1:8" x14ac:dyDescent="0.35">
      <c r="A28" t="s">
        <v>0</v>
      </c>
      <c r="B28">
        <v>14</v>
      </c>
      <c r="C28">
        <v>10</v>
      </c>
      <c r="D28">
        <v>13</v>
      </c>
    </row>
    <row r="29" spans="1:8" x14ac:dyDescent="0.35">
      <c r="A29" t="s">
        <v>0</v>
      </c>
      <c r="B29">
        <v>15</v>
      </c>
      <c r="C29">
        <v>10</v>
      </c>
      <c r="D29">
        <v>10</v>
      </c>
    </row>
    <row r="30" spans="1:8" x14ac:dyDescent="0.35">
      <c r="A30" t="s">
        <v>0</v>
      </c>
      <c r="B30">
        <v>15</v>
      </c>
      <c r="C30">
        <v>10</v>
      </c>
      <c r="D30">
        <v>9</v>
      </c>
    </row>
    <row r="31" spans="1:8" x14ac:dyDescent="0.35">
      <c r="A31" t="s">
        <v>0</v>
      </c>
      <c r="B31">
        <v>15</v>
      </c>
      <c r="C31">
        <v>10</v>
      </c>
      <c r="D31">
        <v>8</v>
      </c>
    </row>
    <row r="32" spans="1:8" x14ac:dyDescent="0.35">
      <c r="A32" t="s">
        <v>0</v>
      </c>
      <c r="B32">
        <v>16</v>
      </c>
      <c r="C32">
        <v>10</v>
      </c>
      <c r="D32">
        <v>10</v>
      </c>
    </row>
    <row r="33" spans="1:4" x14ac:dyDescent="0.35">
      <c r="A33" t="s">
        <v>0</v>
      </c>
      <c r="B33">
        <v>16</v>
      </c>
      <c r="C33">
        <v>10</v>
      </c>
      <c r="D33">
        <v>14</v>
      </c>
    </row>
    <row r="34" spans="1:4" x14ac:dyDescent="0.35">
      <c r="A34" t="s">
        <v>0</v>
      </c>
      <c r="B34">
        <v>16</v>
      </c>
      <c r="C34">
        <v>10</v>
      </c>
      <c r="D34">
        <v>14</v>
      </c>
    </row>
    <row r="35" spans="1:4" x14ac:dyDescent="0.35">
      <c r="A35" t="s">
        <v>0</v>
      </c>
      <c r="B35">
        <v>17</v>
      </c>
      <c r="C35">
        <v>10</v>
      </c>
      <c r="D35">
        <v>12</v>
      </c>
    </row>
    <row r="36" spans="1:4" x14ac:dyDescent="0.35">
      <c r="A36" t="s">
        <v>0</v>
      </c>
      <c r="B36">
        <v>17</v>
      </c>
      <c r="C36">
        <v>10</v>
      </c>
      <c r="D36">
        <v>18</v>
      </c>
    </row>
    <row r="37" spans="1:4" x14ac:dyDescent="0.35">
      <c r="A37" t="s">
        <v>0</v>
      </c>
      <c r="B37">
        <v>17</v>
      </c>
      <c r="C37">
        <v>10</v>
      </c>
      <c r="D37">
        <v>10</v>
      </c>
    </row>
    <row r="38" spans="1:4" x14ac:dyDescent="0.35">
      <c r="A38" t="s">
        <v>0</v>
      </c>
      <c r="B38">
        <v>18</v>
      </c>
      <c r="C38">
        <v>10</v>
      </c>
      <c r="D38">
        <v>13</v>
      </c>
    </row>
    <row r="39" spans="1:4" x14ac:dyDescent="0.35">
      <c r="A39" t="s">
        <v>0</v>
      </c>
      <c r="B39">
        <v>18</v>
      </c>
      <c r="C39">
        <v>10</v>
      </c>
      <c r="D39">
        <v>12</v>
      </c>
    </row>
    <row r="40" spans="1:4" x14ac:dyDescent="0.35">
      <c r="A40" t="s">
        <v>0</v>
      </c>
      <c r="B40">
        <v>18</v>
      </c>
      <c r="C40">
        <v>10</v>
      </c>
      <c r="D40">
        <v>14</v>
      </c>
    </row>
    <row r="41" spans="1:4" x14ac:dyDescent="0.35">
      <c r="A41" t="s">
        <v>0</v>
      </c>
      <c r="B41">
        <v>19</v>
      </c>
      <c r="C41">
        <v>10</v>
      </c>
      <c r="D41">
        <v>13</v>
      </c>
    </row>
    <row r="42" spans="1:4" x14ac:dyDescent="0.35">
      <c r="A42" t="s">
        <v>0</v>
      </c>
      <c r="B42">
        <v>19</v>
      </c>
      <c r="C42">
        <v>10</v>
      </c>
      <c r="D42">
        <v>8</v>
      </c>
    </row>
    <row r="43" spans="1:4" x14ac:dyDescent="0.35">
      <c r="A43" t="s">
        <v>0</v>
      </c>
      <c r="B43">
        <v>19</v>
      </c>
      <c r="C43">
        <v>10</v>
      </c>
      <c r="D43">
        <v>12</v>
      </c>
    </row>
    <row r="44" spans="1:4" x14ac:dyDescent="0.35">
      <c r="A44" t="s">
        <v>0</v>
      </c>
      <c r="B44">
        <v>20</v>
      </c>
      <c r="C44">
        <v>10</v>
      </c>
      <c r="D44">
        <v>12</v>
      </c>
    </row>
    <row r="45" spans="1:4" x14ac:dyDescent="0.35">
      <c r="A45" t="s">
        <v>0</v>
      </c>
      <c r="B45">
        <v>20</v>
      </c>
      <c r="C45">
        <v>10</v>
      </c>
      <c r="D45">
        <v>9</v>
      </c>
    </row>
    <row r="46" spans="1:4" x14ac:dyDescent="0.35">
      <c r="A46" t="s">
        <v>0</v>
      </c>
      <c r="B46">
        <v>20</v>
      </c>
      <c r="C46">
        <v>10</v>
      </c>
      <c r="D46">
        <v>8</v>
      </c>
    </row>
    <row r="47" spans="1:4" x14ac:dyDescent="0.35">
      <c r="A47" t="s">
        <v>0</v>
      </c>
      <c r="B47">
        <v>21</v>
      </c>
      <c r="C47">
        <v>10</v>
      </c>
      <c r="D47">
        <v>9</v>
      </c>
    </row>
    <row r="48" spans="1:4" x14ac:dyDescent="0.35">
      <c r="A48" t="s">
        <v>0</v>
      </c>
      <c r="B48">
        <v>21</v>
      </c>
      <c r="C48">
        <v>10</v>
      </c>
      <c r="D48">
        <v>11</v>
      </c>
    </row>
    <row r="49" spans="1:4" x14ac:dyDescent="0.35">
      <c r="A49" t="s">
        <v>0</v>
      </c>
      <c r="B49">
        <v>21</v>
      </c>
      <c r="C49">
        <v>10</v>
      </c>
      <c r="D49">
        <v>5</v>
      </c>
    </row>
    <row r="50" spans="1:4" x14ac:dyDescent="0.35">
      <c r="A50" t="s">
        <v>0</v>
      </c>
      <c r="B50">
        <v>22</v>
      </c>
      <c r="C50">
        <v>10</v>
      </c>
      <c r="D50">
        <v>8</v>
      </c>
    </row>
    <row r="51" spans="1:4" x14ac:dyDescent="0.35">
      <c r="A51" t="s">
        <v>0</v>
      </c>
      <c r="B51">
        <v>22</v>
      </c>
      <c r="C51">
        <v>10</v>
      </c>
      <c r="D51">
        <v>9</v>
      </c>
    </row>
    <row r="52" spans="1:4" x14ac:dyDescent="0.35">
      <c r="A52" t="s">
        <v>0</v>
      </c>
      <c r="B52">
        <v>22</v>
      </c>
      <c r="C52">
        <v>10</v>
      </c>
      <c r="D52">
        <v>9</v>
      </c>
    </row>
    <row r="53" spans="1:4" x14ac:dyDescent="0.35">
      <c r="A53" t="s">
        <v>0</v>
      </c>
      <c r="B53">
        <v>23</v>
      </c>
      <c r="C53">
        <v>10</v>
      </c>
      <c r="D53">
        <v>11</v>
      </c>
    </row>
    <row r="54" spans="1:4" x14ac:dyDescent="0.35">
      <c r="A54" t="s">
        <v>0</v>
      </c>
      <c r="B54">
        <v>23</v>
      </c>
      <c r="C54">
        <v>10</v>
      </c>
      <c r="D54">
        <v>8</v>
      </c>
    </row>
    <row r="55" spans="1:4" x14ac:dyDescent="0.35">
      <c r="A55" t="s">
        <v>0</v>
      </c>
      <c r="B55">
        <v>23</v>
      </c>
      <c r="C55">
        <v>10</v>
      </c>
      <c r="D55">
        <v>10</v>
      </c>
    </row>
    <row r="56" spans="1:4" x14ac:dyDescent="0.35">
      <c r="A56" t="s">
        <v>0</v>
      </c>
      <c r="B56">
        <v>24</v>
      </c>
      <c r="C56">
        <v>10</v>
      </c>
      <c r="D56">
        <v>10</v>
      </c>
    </row>
    <row r="57" spans="1:4" x14ac:dyDescent="0.35">
      <c r="A57" t="s">
        <v>0</v>
      </c>
      <c r="B57">
        <v>24</v>
      </c>
      <c r="C57">
        <v>10</v>
      </c>
      <c r="D57">
        <v>16</v>
      </c>
    </row>
    <row r="58" spans="1:4" x14ac:dyDescent="0.35">
      <c r="A58" t="s">
        <v>0</v>
      </c>
      <c r="B58">
        <v>24</v>
      </c>
      <c r="C58">
        <v>10</v>
      </c>
      <c r="D58">
        <v>14</v>
      </c>
    </row>
    <row r="59" spans="1:4" x14ac:dyDescent="0.35">
      <c r="A59" t="s">
        <v>0</v>
      </c>
      <c r="B59">
        <v>25</v>
      </c>
      <c r="C59">
        <v>10</v>
      </c>
      <c r="D59">
        <v>9</v>
      </c>
    </row>
    <row r="60" spans="1:4" x14ac:dyDescent="0.35">
      <c r="A60" t="s">
        <v>0</v>
      </c>
      <c r="B60">
        <v>25</v>
      </c>
      <c r="C60">
        <v>10</v>
      </c>
      <c r="D60">
        <v>9</v>
      </c>
    </row>
    <row r="61" spans="1:4" x14ac:dyDescent="0.35">
      <c r="A61" t="s">
        <v>0</v>
      </c>
      <c r="B61">
        <v>25</v>
      </c>
      <c r="C61">
        <v>10</v>
      </c>
      <c r="D61">
        <v>9</v>
      </c>
    </row>
    <row r="62" spans="1:4" x14ac:dyDescent="0.35">
      <c r="A62" t="s">
        <v>0</v>
      </c>
      <c r="B62">
        <v>26</v>
      </c>
      <c r="C62">
        <v>10</v>
      </c>
      <c r="D62">
        <v>19</v>
      </c>
    </row>
    <row r="63" spans="1:4" x14ac:dyDescent="0.35">
      <c r="A63" t="s">
        <v>0</v>
      </c>
      <c r="B63">
        <v>26</v>
      </c>
      <c r="C63">
        <v>10</v>
      </c>
      <c r="D63">
        <v>11</v>
      </c>
    </row>
    <row r="64" spans="1:4" x14ac:dyDescent="0.35">
      <c r="A64" t="s">
        <v>0</v>
      </c>
      <c r="B64">
        <v>26</v>
      </c>
      <c r="C64">
        <v>10</v>
      </c>
      <c r="D64">
        <v>11</v>
      </c>
    </row>
    <row r="65" spans="1:4" x14ac:dyDescent="0.35">
      <c r="A65" t="s">
        <v>0</v>
      </c>
      <c r="B65">
        <v>27</v>
      </c>
      <c r="C65">
        <v>10</v>
      </c>
      <c r="D65">
        <v>15</v>
      </c>
    </row>
    <row r="66" spans="1:4" x14ac:dyDescent="0.35">
      <c r="A66" t="s">
        <v>0</v>
      </c>
      <c r="B66">
        <v>27</v>
      </c>
      <c r="C66">
        <v>10</v>
      </c>
      <c r="D66">
        <v>12</v>
      </c>
    </row>
    <row r="67" spans="1:4" x14ac:dyDescent="0.35">
      <c r="A67" t="s">
        <v>0</v>
      </c>
      <c r="B67">
        <v>27</v>
      </c>
      <c r="C67">
        <v>10</v>
      </c>
      <c r="D67">
        <v>13</v>
      </c>
    </row>
    <row r="68" spans="1:4" x14ac:dyDescent="0.35">
      <c r="A68" t="s">
        <v>0</v>
      </c>
      <c r="B68">
        <v>28</v>
      </c>
      <c r="C68">
        <v>10</v>
      </c>
      <c r="D68">
        <v>9</v>
      </c>
    </row>
    <row r="69" spans="1:4" x14ac:dyDescent="0.35">
      <c r="A69" t="s">
        <v>0</v>
      </c>
      <c r="B69">
        <v>28</v>
      </c>
      <c r="C69">
        <v>10</v>
      </c>
      <c r="D69">
        <v>14</v>
      </c>
    </row>
    <row r="70" spans="1:4" x14ac:dyDescent="0.35">
      <c r="A70" t="s">
        <v>0</v>
      </c>
      <c r="B70">
        <v>28</v>
      </c>
      <c r="C70">
        <v>10</v>
      </c>
      <c r="D70">
        <v>7</v>
      </c>
    </row>
    <row r="71" spans="1:4" x14ac:dyDescent="0.35">
      <c r="A71" t="s">
        <v>0</v>
      </c>
      <c r="B71">
        <v>29</v>
      </c>
      <c r="C71">
        <v>10</v>
      </c>
      <c r="D71">
        <v>13</v>
      </c>
    </row>
    <row r="72" spans="1:4" x14ac:dyDescent="0.35">
      <c r="A72" t="s">
        <v>0</v>
      </c>
      <c r="B72">
        <v>29</v>
      </c>
      <c r="C72">
        <v>10</v>
      </c>
      <c r="D72">
        <v>11</v>
      </c>
    </row>
    <row r="73" spans="1:4" x14ac:dyDescent="0.35">
      <c r="A73" t="s">
        <v>0</v>
      </c>
      <c r="B73">
        <v>29</v>
      </c>
      <c r="C73">
        <v>10</v>
      </c>
      <c r="D73">
        <v>11</v>
      </c>
    </row>
    <row r="74" spans="1:4" x14ac:dyDescent="0.35">
      <c r="A74" t="s">
        <v>0</v>
      </c>
      <c r="B74">
        <v>30</v>
      </c>
      <c r="C74">
        <v>10</v>
      </c>
      <c r="D74">
        <v>15</v>
      </c>
    </row>
    <row r="75" spans="1:4" x14ac:dyDescent="0.35">
      <c r="A75" t="s">
        <v>0</v>
      </c>
      <c r="B75">
        <v>30</v>
      </c>
      <c r="C75">
        <v>10</v>
      </c>
      <c r="D75">
        <v>10</v>
      </c>
    </row>
    <row r="76" spans="1:4" x14ac:dyDescent="0.35">
      <c r="A76" t="s">
        <v>0</v>
      </c>
      <c r="B76">
        <v>30</v>
      </c>
      <c r="C76">
        <v>10</v>
      </c>
      <c r="D76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Ghosh</dc:creator>
  <cp:lastModifiedBy>Pritam Ghosh</cp:lastModifiedBy>
  <dcterms:created xsi:type="dcterms:W3CDTF">2015-06-05T18:17:20Z</dcterms:created>
  <dcterms:modified xsi:type="dcterms:W3CDTF">2024-09-08T21:27:54Z</dcterms:modified>
</cp:coreProperties>
</file>