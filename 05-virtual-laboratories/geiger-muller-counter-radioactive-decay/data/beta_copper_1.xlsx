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pgtd2\Desktop\Lab Sem 1\VL1\Excel files\"/>
    </mc:Choice>
  </mc:AlternateContent>
  <xr:revisionPtr revIDLastSave="0" documentId="13_ncr:9_{0D5534C3-769C-4935-ADCB-409437EF5C79}" xr6:coauthVersionLast="47" xr6:coauthVersionMax="47" xr10:uidLastSave="{00000000-0000-0000-0000-000000000000}"/>
  <bookViews>
    <workbookView xWindow="-110" yWindow="-110" windowWidth="19420" windowHeight="10300" xr2:uid="{113D84F3-C8F7-4DCC-80AD-D02983B2D7D6}"/>
  </bookViews>
  <sheets>
    <sheet name="beta_copper" sheetId="1" r:id="rId1"/>
  </sheets>
  <calcPr calcId="191029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I3" i="1" l="1"/>
  <c r="I4" i="1"/>
  <c r="I5" i="1"/>
  <c r="I6" i="1"/>
  <c r="I7" i="1"/>
  <c r="I8" i="1"/>
  <c r="I9" i="1"/>
  <c r="I2" i="1"/>
  <c r="H2" i="1"/>
  <c r="H3" i="1"/>
  <c r="H4" i="1"/>
  <c r="H5" i="1"/>
  <c r="H6" i="1"/>
  <c r="H7" i="1"/>
  <c r="H8" i="1"/>
  <c r="H9" i="1"/>
  <c r="G3" i="1"/>
  <c r="G4" i="1"/>
  <c r="G5" i="1"/>
  <c r="G6" i="1"/>
  <c r="G7" i="1"/>
  <c r="G8" i="1"/>
  <c r="G9" i="1"/>
  <c r="G2" i="1"/>
  <c r="J9" i="1" l="1"/>
  <c r="J3" i="1"/>
  <c r="J5" i="1"/>
  <c r="J4" i="1"/>
  <c r="J6" i="1"/>
  <c r="J7" i="1"/>
  <c r="J8" i="1"/>
  <c r="J2" i="1"/>
</calcChain>
</file>

<file path=xl/sharedStrings.xml><?xml version="1.0" encoding="utf-8"?>
<sst xmlns="http://purl.oclc.org/ooxml/spreadsheetml/main" count="58" uniqueCount="12">
  <si>
    <t>Source</t>
  </si>
  <si>
    <t>Shield Material</t>
  </si>
  <si>
    <t>Shield Thickness (mm)</t>
  </si>
  <si>
    <t>Distance (cm)</t>
  </si>
  <si>
    <t>Count Duration (sec)</t>
  </si>
  <si>
    <t>Count</t>
  </si>
  <si>
    <t>Sr-90</t>
  </si>
  <si>
    <t>copper</t>
  </si>
  <si>
    <t>Thickness</t>
  </si>
  <si>
    <t>avg Count</t>
  </si>
  <si>
    <t>error</t>
  </si>
  <si>
    <t>Error(%)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</si>
</sst>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beta_copper!$H$1</c:f>
              <c:strCache>
                <c:ptCount val="1"/>
                <c:pt idx="0">
                  <c:v>avg Count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1.0380139982502187E-2"/>
                  <c:y val="-0.1971795713035870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%">
                        <a:solidFill>
                          <a:schemeClr val="tx1">
                            <a:lumMod val="65%"/>
                            <a:lumOff val="35%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%"/>
                      <a:t>y = 68.916e</a:t>
                    </a:r>
                    <a:r>
                      <a:rPr lang="en-US" sz="1200" baseline="30%"/>
                      <a:t>-0.191x</a:t>
                    </a:r>
                    <a:endParaRPr lang="en-US" sz="12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65%"/>
                          <a:lumOff val="3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beta_copper!$G$2:$G$25</c:f>
              <c:numCache>
                <c:formatCode>General</c:formatCode>
                <c:ptCount val="24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6</c:v>
                </c:pt>
                <c:pt idx="6">
                  <c:v>8</c:v>
                </c:pt>
                <c:pt idx="7">
                  <c:v>10</c:v>
                </c:pt>
              </c:numCache>
            </c:numRef>
          </c:xVal>
          <c:yVal>
            <c:numRef>
              <c:f>beta_copper!$H$2:$H$25</c:f>
              <c:numCache>
                <c:formatCode>General</c:formatCode>
                <c:ptCount val="24"/>
                <c:pt idx="0">
                  <c:v>900.66666666666663</c:v>
                </c:pt>
                <c:pt idx="1">
                  <c:v>25</c:v>
                </c:pt>
                <c:pt idx="2">
                  <c:v>14.666666666666666</c:v>
                </c:pt>
                <c:pt idx="3">
                  <c:v>18</c:v>
                </c:pt>
                <c:pt idx="4">
                  <c:v>22.333333333333332</c:v>
                </c:pt>
                <c:pt idx="5">
                  <c:v>15</c:v>
                </c:pt>
                <c:pt idx="6">
                  <c:v>19.333333333333332</c:v>
                </c:pt>
                <c:pt idx="7">
                  <c:v>18.333333333333332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3C-455C-84B1-7B03D0EBE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824863"/>
        <c:axId val="893825343"/>
      </c:scatterChart>
      <c:valAx>
        <c:axId val="893824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Thickness(mm)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825343"/>
        <c:crosses val="autoZero"/>
        <c:crossBetween val="midCat"/>
      </c:valAx>
      <c:valAx>
        <c:axId val="89382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Count(avg)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431747594050743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824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65%"/>
                          <a:lumOff val="3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beta_copper!$G$2:$G$3</c:f>
              <c:numCache>
                <c:formatCode>General</c:formatCode>
                <c:ptCount val="2"/>
                <c:pt idx="0">
                  <c:v>0.5</c:v>
                </c:pt>
                <c:pt idx="1">
                  <c:v>1</c:v>
                </c:pt>
              </c:numCache>
            </c:numRef>
          </c:xVal>
          <c:yVal>
            <c:numRef>
              <c:f>beta_copper!$H$2:$H$3</c:f>
              <c:numCache>
                <c:formatCode>General</c:formatCode>
                <c:ptCount val="2"/>
                <c:pt idx="0">
                  <c:v>900.66666666666663</c:v>
                </c:pt>
                <c:pt idx="1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F9-4F41-A8D5-06F491B89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5555040"/>
        <c:axId val="515551200"/>
      </c:scatterChart>
      <c:valAx>
        <c:axId val="515555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551200"/>
        <c:crosses val="autoZero"/>
        <c:crossBetween val="midCat"/>
      </c:valAx>
      <c:valAx>
        <c:axId val="51555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555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purl.oclc.org/ooxml/officeDocument/relationships/chart" Target="../charts/chart2.xml"/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10</xdr:col>
      <xdr:colOff>314325</xdr:colOff>
      <xdr:row>2</xdr:row>
      <xdr:rowOff>174625</xdr:rowOff>
    </xdr:from>
    <xdr:to>
      <xdr:col>18</xdr:col>
      <xdr:colOff>9525</xdr:colOff>
      <xdr:row>17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6BF565-3A7A-2F1D-D1E7-F34589B33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10</xdr:col>
      <xdr:colOff>200025</xdr:colOff>
      <xdr:row>17</xdr:row>
      <xdr:rowOff>31750</xdr:rowOff>
    </xdr:from>
    <xdr:to>
      <xdr:col>17</xdr:col>
      <xdr:colOff>504825</xdr:colOff>
      <xdr:row>32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373B290-EF18-F3D3-5B36-B2A4D7FACA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DA2CB-47AC-4F57-BE3A-9CE9370C5A5C}">
  <dimension ref="A1:J25"/>
  <sheetViews>
    <sheetView tabSelected="1" topLeftCell="A7" workbookViewId="0">
      <selection activeCell="H28" sqref="H28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35">
      <c r="A2" t="s">
        <v>6</v>
      </c>
      <c r="B2" t="s">
        <v>7</v>
      </c>
      <c r="C2">
        <v>0.5</v>
      </c>
      <c r="D2">
        <v>6</v>
      </c>
      <c r="E2">
        <v>10</v>
      </c>
      <c r="F2">
        <v>882</v>
      </c>
      <c r="G2">
        <f ca="1">AVERAGE(OFFSET($C$2, (ROW()-ROW($E$2))*3, 0, 3, 1))</f>
        <v>0.5</v>
      </c>
      <c r="H2">
        <f ca="1">AVERAGE(OFFSET($F$2, (ROW()-ROW($E$2))*3, 0, 3, 1))</f>
        <v>900.66666666666663</v>
      </c>
      <c r="I2">
        <f ca="1">_xlfn.STDEV.S(OFFSET($F$2, (ROW()-ROW($E$2))*3, 0, 3, 1))/SQRT(3)</f>
        <v>9.3511734260703587</v>
      </c>
      <c r="J2">
        <f ca="1">100*I2/H2</f>
        <v>1.0382501953445995</v>
      </c>
    </row>
    <row r="3" spans="1:10" x14ac:dyDescent="0.35">
      <c r="A3" t="s">
        <v>6</v>
      </c>
      <c r="B3" t="s">
        <v>7</v>
      </c>
      <c r="C3">
        <v>0.5</v>
      </c>
      <c r="D3">
        <v>6</v>
      </c>
      <c r="E3">
        <v>10</v>
      </c>
      <c r="F3">
        <v>909</v>
      </c>
      <c r="G3">
        <f t="shared" ref="G3:G9" ca="1" si="0">AVERAGE(OFFSET($C$2, (ROW()-ROW($E$2))*3, 0, 3, 1))</f>
        <v>1</v>
      </c>
      <c r="H3">
        <f t="shared" ref="H3:H9" ca="1" si="1">AVERAGE(OFFSET($F$2, (ROW()-ROW($E$2))*3, 0, 3, 1))</f>
        <v>25</v>
      </c>
      <c r="I3">
        <f t="shared" ref="I3:I9" ca="1" si="2">_xlfn.STDEV.S(OFFSET($F$2, (ROW()-ROW($E$2))*3, 0, 3, 1))/SQRT(3)</f>
        <v>2.3094010767585034</v>
      </c>
      <c r="J3">
        <f ca="1">100*I3/H3</f>
        <v>9.2376043070340135</v>
      </c>
    </row>
    <row r="4" spans="1:10" x14ac:dyDescent="0.35">
      <c r="A4" t="s">
        <v>6</v>
      </c>
      <c r="B4" t="s">
        <v>7</v>
      </c>
      <c r="C4">
        <v>0.5</v>
      </c>
      <c r="D4">
        <v>6</v>
      </c>
      <c r="E4">
        <v>10</v>
      </c>
      <c r="F4">
        <v>911</v>
      </c>
      <c r="G4">
        <f t="shared" ca="1" si="0"/>
        <v>2</v>
      </c>
      <c r="H4">
        <f t="shared" ca="1" si="1"/>
        <v>14.666666666666666</v>
      </c>
      <c r="I4">
        <f t="shared" ca="1" si="2"/>
        <v>1.333333333333331</v>
      </c>
      <c r="J4">
        <f ca="1">100*I4/H4</f>
        <v>9.0909090909090757</v>
      </c>
    </row>
    <row r="5" spans="1:10" x14ac:dyDescent="0.35">
      <c r="A5" t="s">
        <v>6</v>
      </c>
      <c r="B5" t="s">
        <v>7</v>
      </c>
      <c r="C5">
        <v>1</v>
      </c>
      <c r="D5">
        <v>6</v>
      </c>
      <c r="E5">
        <v>10</v>
      </c>
      <c r="F5">
        <v>29</v>
      </c>
      <c r="G5">
        <f t="shared" ca="1" si="0"/>
        <v>3</v>
      </c>
      <c r="H5">
        <f t="shared" ca="1" si="1"/>
        <v>18</v>
      </c>
      <c r="I5">
        <f t="shared" ca="1" si="2"/>
        <v>1.7320508075688774</v>
      </c>
      <c r="J5">
        <f ca="1">100*I5/H5</f>
        <v>9.6225044864937637</v>
      </c>
    </row>
    <row r="6" spans="1:10" x14ac:dyDescent="0.35">
      <c r="A6" t="s">
        <v>6</v>
      </c>
      <c r="B6" t="s">
        <v>7</v>
      </c>
      <c r="C6">
        <v>1</v>
      </c>
      <c r="D6">
        <v>6</v>
      </c>
      <c r="E6">
        <v>10</v>
      </c>
      <c r="F6">
        <v>25</v>
      </c>
      <c r="G6">
        <f t="shared" ca="1" si="0"/>
        <v>4</v>
      </c>
      <c r="H6">
        <f t="shared" ca="1" si="1"/>
        <v>22.333333333333332</v>
      </c>
      <c r="I6">
        <f t="shared" ca="1" si="2"/>
        <v>1.4529663145135581</v>
      </c>
      <c r="J6">
        <f ca="1">100*I6/H6</f>
        <v>6.5058193187174247</v>
      </c>
    </row>
    <row r="7" spans="1:10" x14ac:dyDescent="0.35">
      <c r="A7" t="s">
        <v>6</v>
      </c>
      <c r="B7" t="s">
        <v>7</v>
      </c>
      <c r="C7">
        <v>1</v>
      </c>
      <c r="D7">
        <v>6</v>
      </c>
      <c r="E7">
        <v>10</v>
      </c>
      <c r="F7">
        <v>21</v>
      </c>
      <c r="G7">
        <f t="shared" ca="1" si="0"/>
        <v>6</v>
      </c>
      <c r="H7">
        <f t="shared" ca="1" si="1"/>
        <v>15</v>
      </c>
      <c r="I7">
        <f t="shared" ca="1" si="2"/>
        <v>3.6055512754639896</v>
      </c>
      <c r="J7">
        <f ca="1">100*I7/H7</f>
        <v>24.037008503093265</v>
      </c>
    </row>
    <row r="8" spans="1:10" x14ac:dyDescent="0.35">
      <c r="A8" t="s">
        <v>6</v>
      </c>
      <c r="B8" t="s">
        <v>7</v>
      </c>
      <c r="C8">
        <v>2</v>
      </c>
      <c r="D8">
        <v>6</v>
      </c>
      <c r="E8">
        <v>10</v>
      </c>
      <c r="F8">
        <v>16</v>
      </c>
      <c r="G8">
        <f t="shared" ca="1" si="0"/>
        <v>8</v>
      </c>
      <c r="H8">
        <f t="shared" ca="1" si="1"/>
        <v>19.333333333333332</v>
      </c>
      <c r="I8">
        <f t="shared" ca="1" si="2"/>
        <v>1.4529663145135623</v>
      </c>
      <c r="J8">
        <f ca="1">100*I8/H8</f>
        <v>7.5153430061046329</v>
      </c>
    </row>
    <row r="9" spans="1:10" x14ac:dyDescent="0.35">
      <c r="A9" t="s">
        <v>6</v>
      </c>
      <c r="B9" t="s">
        <v>7</v>
      </c>
      <c r="C9">
        <v>2</v>
      </c>
      <c r="D9">
        <v>6</v>
      </c>
      <c r="E9">
        <v>10</v>
      </c>
      <c r="F9">
        <v>12</v>
      </c>
      <c r="G9">
        <f t="shared" ca="1" si="0"/>
        <v>10</v>
      </c>
      <c r="H9">
        <f t="shared" ca="1" si="1"/>
        <v>18.333333333333332</v>
      </c>
      <c r="I9">
        <f t="shared" ca="1" si="2"/>
        <v>1.333333333333331</v>
      </c>
      <c r="J9">
        <f ca="1">100*I9/H9</f>
        <v>7.2727272727272609</v>
      </c>
    </row>
    <row r="10" spans="1:10" x14ac:dyDescent="0.35">
      <c r="A10" t="s">
        <v>6</v>
      </c>
      <c r="B10" t="s">
        <v>7</v>
      </c>
      <c r="C10">
        <v>2</v>
      </c>
      <c r="D10">
        <v>6</v>
      </c>
      <c r="E10">
        <v>10</v>
      </c>
      <c r="F10">
        <v>16</v>
      </c>
    </row>
    <row r="11" spans="1:10" x14ac:dyDescent="0.35">
      <c r="A11" t="s">
        <v>6</v>
      </c>
      <c r="B11" t="s">
        <v>7</v>
      </c>
      <c r="C11">
        <v>3</v>
      </c>
      <c r="D11">
        <v>6</v>
      </c>
      <c r="E11">
        <v>10</v>
      </c>
      <c r="F11">
        <v>18</v>
      </c>
    </row>
    <row r="12" spans="1:10" x14ac:dyDescent="0.35">
      <c r="A12" t="s">
        <v>6</v>
      </c>
      <c r="B12" t="s">
        <v>7</v>
      </c>
      <c r="C12">
        <v>3</v>
      </c>
      <c r="D12">
        <v>6</v>
      </c>
      <c r="E12">
        <v>10</v>
      </c>
      <c r="F12">
        <v>21</v>
      </c>
    </row>
    <row r="13" spans="1:10" x14ac:dyDescent="0.35">
      <c r="A13" t="s">
        <v>6</v>
      </c>
      <c r="B13" t="s">
        <v>7</v>
      </c>
      <c r="C13">
        <v>3</v>
      </c>
      <c r="D13">
        <v>6</v>
      </c>
      <c r="E13">
        <v>10</v>
      </c>
      <c r="F13">
        <v>15</v>
      </c>
    </row>
    <row r="14" spans="1:10" x14ac:dyDescent="0.35">
      <c r="A14" t="s">
        <v>6</v>
      </c>
      <c r="B14" t="s">
        <v>7</v>
      </c>
      <c r="C14">
        <v>4</v>
      </c>
      <c r="D14">
        <v>6</v>
      </c>
      <c r="E14">
        <v>10</v>
      </c>
      <c r="F14">
        <v>22</v>
      </c>
    </row>
    <row r="15" spans="1:10" x14ac:dyDescent="0.35">
      <c r="A15" t="s">
        <v>6</v>
      </c>
      <c r="B15" t="s">
        <v>7</v>
      </c>
      <c r="C15">
        <v>4</v>
      </c>
      <c r="D15">
        <v>6</v>
      </c>
      <c r="E15">
        <v>10</v>
      </c>
      <c r="F15">
        <v>25</v>
      </c>
    </row>
    <row r="16" spans="1:10" x14ac:dyDescent="0.35">
      <c r="A16" t="s">
        <v>6</v>
      </c>
      <c r="B16" t="s">
        <v>7</v>
      </c>
      <c r="C16">
        <v>4</v>
      </c>
      <c r="D16">
        <v>6</v>
      </c>
      <c r="E16">
        <v>10</v>
      </c>
      <c r="F16">
        <v>20</v>
      </c>
    </row>
    <row r="17" spans="1:6" x14ac:dyDescent="0.35">
      <c r="A17" t="s">
        <v>6</v>
      </c>
      <c r="B17" t="s">
        <v>7</v>
      </c>
      <c r="C17">
        <v>6</v>
      </c>
      <c r="D17">
        <v>6</v>
      </c>
      <c r="E17">
        <v>10</v>
      </c>
      <c r="F17">
        <v>10</v>
      </c>
    </row>
    <row r="18" spans="1:6" x14ac:dyDescent="0.35">
      <c r="A18" t="s">
        <v>6</v>
      </c>
      <c r="B18" t="s">
        <v>7</v>
      </c>
      <c r="C18">
        <v>6</v>
      </c>
      <c r="D18">
        <v>6</v>
      </c>
      <c r="E18">
        <v>10</v>
      </c>
      <c r="F18">
        <v>22</v>
      </c>
    </row>
    <row r="19" spans="1:6" x14ac:dyDescent="0.35">
      <c r="A19" t="s">
        <v>6</v>
      </c>
      <c r="B19" t="s">
        <v>7</v>
      </c>
      <c r="C19">
        <v>6</v>
      </c>
      <c r="D19">
        <v>6</v>
      </c>
      <c r="E19">
        <v>10</v>
      </c>
      <c r="F19">
        <v>13</v>
      </c>
    </row>
    <row r="20" spans="1:6" x14ac:dyDescent="0.35">
      <c r="A20" t="s">
        <v>6</v>
      </c>
      <c r="B20" t="s">
        <v>7</v>
      </c>
      <c r="C20">
        <v>8</v>
      </c>
      <c r="D20">
        <v>6</v>
      </c>
      <c r="E20">
        <v>10</v>
      </c>
      <c r="F20">
        <v>19</v>
      </c>
    </row>
    <row r="21" spans="1:6" x14ac:dyDescent="0.35">
      <c r="A21" t="s">
        <v>6</v>
      </c>
      <c r="B21" t="s">
        <v>7</v>
      </c>
      <c r="C21">
        <v>8</v>
      </c>
      <c r="D21">
        <v>6</v>
      </c>
      <c r="E21">
        <v>10</v>
      </c>
      <c r="F21">
        <v>22</v>
      </c>
    </row>
    <row r="22" spans="1:6" x14ac:dyDescent="0.35">
      <c r="A22" t="s">
        <v>6</v>
      </c>
      <c r="B22" t="s">
        <v>7</v>
      </c>
      <c r="C22">
        <v>8</v>
      </c>
      <c r="D22">
        <v>6</v>
      </c>
      <c r="E22">
        <v>10</v>
      </c>
      <c r="F22">
        <v>17</v>
      </c>
    </row>
    <row r="23" spans="1:6" x14ac:dyDescent="0.35">
      <c r="A23" t="s">
        <v>6</v>
      </c>
      <c r="B23" t="s">
        <v>7</v>
      </c>
      <c r="C23">
        <v>10</v>
      </c>
      <c r="D23">
        <v>6</v>
      </c>
      <c r="E23">
        <v>10</v>
      </c>
      <c r="F23">
        <v>17</v>
      </c>
    </row>
    <row r="24" spans="1:6" x14ac:dyDescent="0.35">
      <c r="A24" t="s">
        <v>6</v>
      </c>
      <c r="B24" t="s">
        <v>7</v>
      </c>
      <c r="C24">
        <v>10</v>
      </c>
      <c r="D24">
        <v>6</v>
      </c>
      <c r="E24">
        <v>10</v>
      </c>
      <c r="F24">
        <v>21</v>
      </c>
    </row>
    <row r="25" spans="1:6" x14ac:dyDescent="0.35">
      <c r="A25" t="s">
        <v>6</v>
      </c>
      <c r="B25" t="s">
        <v>7</v>
      </c>
      <c r="C25">
        <v>10</v>
      </c>
      <c r="D25">
        <v>6</v>
      </c>
      <c r="E25">
        <v>10</v>
      </c>
      <c r="F25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beta_copper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Pritam Ghosh</dc:creator>
  <cp:lastModifiedBy>Pritam Ghosh</cp:lastModifiedBy>
  <dcterms:created xsi:type="dcterms:W3CDTF">2024-09-07T22:44:39Z</dcterms:created>
  <dcterms:modified xsi:type="dcterms:W3CDTF">2024-09-09T22:13:14Z</dcterms:modified>
</cp:coreProperties>
</file>